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SSm 2025\1. cxrilebi 2025 ge, en\cxrilebi ge\"/>
    </mc:Choice>
  </mc:AlternateContent>
  <xr:revisionPtr revIDLastSave="0" documentId="13_ncr:1_{A4FDBB4D-5516-43AE-BADD-EC51527FFBB4}" xr6:coauthVersionLast="40" xr6:coauthVersionMax="40" xr10:uidLastSave="{00000000-0000-0000-0000-000000000000}"/>
  <bookViews>
    <workbookView xWindow="0" yWindow="0" windowWidth="13830" windowHeight="8055" xr2:uid="{00000000-000D-0000-FFFF-FFFF00000000}"/>
  </bookViews>
  <sheets>
    <sheet name="1" sheetId="85" r:id="rId1"/>
  </sheets>
  <calcPr calcId="191029"/>
</workbook>
</file>

<file path=xl/calcChain.xml><?xml version="1.0" encoding="utf-8"?>
<calcChain xmlns="http://schemas.openxmlformats.org/spreadsheetml/2006/main">
  <c r="C4" i="85" l="1"/>
  <c r="D4" i="85"/>
  <c r="E4" i="85"/>
  <c r="F4" i="85"/>
  <c r="G4" i="85"/>
  <c r="H4" i="85"/>
  <c r="I4" i="85"/>
  <c r="J4" i="85"/>
  <c r="K4" i="85"/>
  <c r="L4" i="85"/>
  <c r="M4" i="85"/>
  <c r="N4" i="85"/>
  <c r="O4" i="85"/>
  <c r="P4" i="85"/>
  <c r="Q4" i="85"/>
  <c r="R4" i="85"/>
  <c r="S4" i="85"/>
  <c r="B4" i="85"/>
  <c r="B12" i="85" l="1"/>
  <c r="C12" i="85" l="1"/>
  <c r="D12" i="85"/>
  <c r="E12" i="85"/>
  <c r="F12" i="85"/>
  <c r="G12" i="85"/>
  <c r="H12" i="85"/>
  <c r="I12" i="85"/>
  <c r="J12" i="85"/>
  <c r="K12" i="85"/>
  <c r="L12" i="85"/>
  <c r="M12" i="85"/>
  <c r="N12" i="85"/>
  <c r="O12" i="85"/>
  <c r="P12" i="85"/>
  <c r="Q12" i="85"/>
  <c r="R12" i="85"/>
  <c r="S12" i="85"/>
</calcChain>
</file>

<file path=xl/sharedStrings.xml><?xml version="1.0" encoding="utf-8"?>
<sst xmlns="http://schemas.openxmlformats.org/spreadsheetml/2006/main" count="263" uniqueCount="16">
  <si>
    <t>სულ</t>
  </si>
  <si>
    <t>კაცი</t>
  </si>
  <si>
    <t>ქალი</t>
  </si>
  <si>
    <t>0-17</t>
  </si>
  <si>
    <t>18-39</t>
  </si>
  <si>
    <t>40-49</t>
  </si>
  <si>
    <t>50-59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</si>
  <si>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</si>
  <si>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</si>
  <si>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</si>
  <si>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</si>
  <si>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 xml:space="preserve"> ქალი</t>
  </si>
  <si>
    <t xml:space="preserve"> კაცი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</si>
  <si>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</si>
  <si>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სოციალური პაკეტის მიმღები შშმ პირების რიცხოვნობა გამოხატული ხარისხის, ასაკობრივი ჯგუფების, სქესის მიხედვით 
</t>
    </r>
    <r>
      <rPr>
        <sz val="10"/>
        <color theme="1"/>
        <rFont val="Sylfaen"/>
        <family val="1"/>
      </rPr>
      <t>(წლის ბოლოს, ერთეული)</t>
    </r>
  </si>
  <si>
    <t>60 წლის და უფროსი ასაკის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</si>
</sst>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sz val="1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8"/>
      <color theme="1"/>
      <name val="Sylfaen"/>
      <family val="1"/>
    </font>
    <font>
      <sz val="8"/>
      <name val="Sylfaen"/>
      <family val="1"/>
    </font>
    <font>
      <sz val="9"/>
      <name val="Sylfaen"/>
      <family val="1"/>
    </font>
    <font>
      <b/>
      <u/>
      <sz val="9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41" fontId="3" fillId="2" borderId="5" xfId="3" applyNumberFormat="1" applyFont="1" applyFill="1" applyBorder="1" applyAlignment="1">
      <alignment horizontal="center" vertical="center" wrapText="1"/>
    </xf>
    <xf numFmtId="41" fontId="5" fillId="2" borderId="0" xfId="2" applyNumberFormat="1" applyFont="1" applyFill="1"/>
    <xf numFmtId="41" fontId="3" fillId="2" borderId="0" xfId="2" applyNumberFormat="1" applyFont="1" applyFill="1" applyAlignment="1"/>
    <xf numFmtId="41" fontId="3" fillId="2" borderId="0" xfId="2" applyNumberFormat="1" applyFont="1" applyFill="1"/>
    <xf numFmtId="41" fontId="3" fillId="2" borderId="0" xfId="2" applyNumberFormat="1" applyFont="1" applyFill="1" applyBorder="1"/>
    <xf numFmtId="41" fontId="10" fillId="2" borderId="0" xfId="2" applyNumberFormat="1" applyFont="1" applyFill="1" applyBorder="1"/>
    <xf numFmtId="0" fontId="3" fillId="2" borderId="0" xfId="2" applyNumberFormat="1" applyFont="1" applyFill="1"/>
    <xf numFmtId="0" fontId="3" fillId="2" borderId="0" xfId="2" applyNumberFormat="1" applyFont="1" applyFill="1" applyBorder="1"/>
    <xf numFmtId="0" fontId="4" fillId="2" borderId="0" xfId="2" applyNumberFormat="1" applyFont="1" applyFill="1" applyBorder="1"/>
    <xf numFmtId="41" fontId="4" fillId="2" borderId="0" xfId="2" applyNumberFormat="1" applyFont="1" applyFill="1" applyBorder="1"/>
    <xf numFmtId="41" fontId="4" fillId="2" borderId="0" xfId="2" applyNumberFormat="1" applyFont="1" applyFill="1" applyAlignment="1"/>
    <xf numFmtId="0" fontId="3" fillId="2" borderId="0" xfId="3" applyNumberFormat="1" applyFont="1" applyFill="1" applyBorder="1" applyAlignment="1">
      <alignment horizontal="left" indent="2"/>
    </xf>
    <xf numFmtId="0" fontId="3" fillId="2" borderId="1" xfId="3" applyNumberFormat="1" applyFont="1" applyFill="1" applyBorder="1" applyAlignment="1">
      <alignment horizontal="left" indent="2"/>
    </xf>
    <xf numFmtId="41" fontId="4" fillId="2" borderId="0" xfId="3" applyNumberFormat="1" applyFont="1" applyFill="1" applyBorder="1" applyAlignment="1">
      <alignment horizontal="left" vertical="center" wrapText="1"/>
    </xf>
    <xf numFmtId="41" fontId="4" fillId="2" borderId="3" xfId="3" applyNumberFormat="1" applyFont="1" applyFill="1" applyBorder="1" applyAlignment="1">
      <alignment horizontal="left" vertical="center" wrapText="1"/>
    </xf>
    <xf numFmtId="41" fontId="11" fillId="2" borderId="0" xfId="2" applyNumberFormat="1" applyFont="1" applyFill="1"/>
    <xf numFmtId="41" fontId="3" fillId="2" borderId="0" xfId="2" applyNumberFormat="1" applyFont="1" applyFill="1" applyBorder="1" applyAlignment="1">
      <alignment horizontal="center" vertical="center"/>
    </xf>
    <xf numFmtId="41" fontId="3" fillId="2" borderId="0" xfId="2" applyNumberFormat="1" applyFont="1" applyFill="1" applyAlignment="1">
      <alignment horizontal="center" vertical="center"/>
    </xf>
    <xf numFmtId="164" fontId="14" fillId="2" borderId="0" xfId="3" applyNumberFormat="1" applyFont="1" applyFill="1" applyBorder="1" applyAlignment="1">
      <alignment horizontal="right" vertical="center" wrapText="1"/>
    </xf>
    <xf numFmtId="164" fontId="14" fillId="2" borderId="7" xfId="3" applyNumberFormat="1" applyFont="1" applyFill="1" applyBorder="1" applyAlignment="1">
      <alignment horizontal="right" vertical="center" wrapText="1"/>
    </xf>
    <xf numFmtId="164" fontId="14" fillId="2" borderId="9" xfId="3" applyNumberFormat="1" applyFont="1" applyFill="1" applyBorder="1" applyAlignment="1">
      <alignment horizontal="right" vertical="center" wrapText="1"/>
    </xf>
    <xf numFmtId="164" fontId="1" fillId="2" borderId="0" xfId="3" applyNumberFormat="1" applyFont="1" applyFill="1" applyBorder="1" applyAlignment="1">
      <alignment horizontal="right"/>
    </xf>
    <xf numFmtId="164" fontId="1" fillId="2" borderId="7" xfId="3" applyNumberFormat="1" applyFont="1" applyFill="1" applyBorder="1" applyAlignment="1">
      <alignment horizontal="right"/>
    </xf>
    <xf numFmtId="164" fontId="1" fillId="2" borderId="9" xfId="3" applyNumberFormat="1" applyFont="1" applyFill="1" applyBorder="1" applyAlignment="1">
      <alignment horizontal="right"/>
    </xf>
    <xf numFmtId="164" fontId="1" fillId="2" borderId="1" xfId="3" applyNumberFormat="1" applyFont="1" applyFill="1" applyBorder="1" applyAlignment="1">
      <alignment horizontal="right"/>
    </xf>
    <xf numFmtId="164" fontId="1" fillId="2" borderId="8" xfId="3" applyNumberFormat="1" applyFont="1" applyFill="1" applyBorder="1" applyAlignment="1">
      <alignment horizontal="right"/>
    </xf>
    <xf numFmtId="164" fontId="1" fillId="2" borderId="11" xfId="3" applyNumberFormat="1" applyFont="1" applyFill="1" applyBorder="1" applyAlignment="1">
      <alignment horizontal="right"/>
    </xf>
    <xf numFmtId="1" fontId="4" fillId="2" borderId="0" xfId="2" applyNumberFormat="1" applyFont="1" applyFill="1" applyAlignment="1"/>
    <xf numFmtId="0" fontId="15" fillId="2" borderId="0" xfId="3" applyNumberFormat="1" applyFont="1" applyFill="1" applyBorder="1" applyAlignment="1">
      <alignment horizontal="right"/>
    </xf>
    <xf numFmtId="165" fontId="16" fillId="2" borderId="0" xfId="0" applyNumberFormat="1" applyFont="1" applyFill="1"/>
    <xf numFmtId="165" fontId="16" fillId="2" borderId="11" xfId="0" applyNumberFormat="1" applyFont="1" applyFill="1" applyBorder="1"/>
    <xf numFmtId="165" fontId="16" fillId="2" borderId="1" xfId="0" applyNumberFormat="1" applyFont="1" applyFill="1" applyBorder="1"/>
    <xf numFmtId="165" fontId="16" fillId="2" borderId="8" xfId="0" applyNumberFormat="1" applyFont="1" applyFill="1" applyBorder="1"/>
    <xf numFmtId="164" fontId="14" fillId="2" borderId="10" xfId="3" applyNumberFormat="1" applyFont="1" applyFill="1" applyBorder="1" applyAlignment="1">
      <alignment horizontal="right" vertical="center" wrapText="1"/>
    </xf>
    <xf numFmtId="165" fontId="16" fillId="2" borderId="9" xfId="0" applyNumberFormat="1" applyFont="1" applyFill="1" applyBorder="1"/>
    <xf numFmtId="0" fontId="9" fillId="2" borderId="3" xfId="0" applyNumberFormat="1" applyFont="1" applyFill="1" applyBorder="1" applyAlignment="1">
      <alignment wrapText="1"/>
    </xf>
    <xf numFmtId="41" fontId="16" fillId="2" borderId="0" xfId="1" applyNumberFormat="1" applyFill="1" applyBorder="1" applyAlignment="1">
      <alignment horizontal="right" vertical="center"/>
    </xf>
    <xf numFmtId="41" fontId="16" fillId="2" borderId="0" xfId="0" applyNumberFormat="1" applyFont="1" applyFill="1" applyBorder="1" applyAlignment="1">
      <alignment horizontal="right" vertical="center"/>
    </xf>
    <xf numFmtId="41" fontId="3" fillId="2" borderId="5" xfId="3" applyNumberFormat="1" applyFont="1" applyFill="1" applyBorder="1" applyAlignment="1">
      <alignment horizontal="center" vertical="center" wrapText="1"/>
    </xf>
    <xf numFmtId="41" fontId="3" fillId="2" borderId="2" xfId="3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41" fontId="3" fillId="2" borderId="4" xfId="3" applyNumberFormat="1" applyFont="1" applyFill="1" applyBorder="1" applyAlignment="1">
      <alignment horizontal="center" vertical="center" wrapText="1"/>
    </xf>
    <xf numFmtId="41" fontId="3" fillId="2" borderId="2" xfId="3" applyNumberFormat="1" applyFont="1" applyFill="1" applyBorder="1" applyAlignment="1">
      <alignment horizontal="center" vertical="center" wrapText="1"/>
    </xf>
    <xf numFmtId="41" fontId="3" fillId="2" borderId="4" xfId="3" applyNumberFormat="1" applyFont="1" applyFill="1" applyBorder="1" applyAlignment="1">
      <alignment horizontal="center" vertical="center" wrapText="1"/>
    </xf>
    <xf numFmtId="41" fontId="1" fillId="2" borderId="5" xfId="3" applyNumberFormat="1" applyFont="1" applyFill="1" applyBorder="1" applyAlignment="1">
      <alignment horizontal="center" vertical="center" wrapText="1"/>
    </xf>
    <xf numFmtId="41" fontId="1" fillId="2" borderId="2" xfId="3" applyNumberFormat="1" applyFont="1" applyFill="1" applyBorder="1" applyAlignment="1">
      <alignment horizontal="center" vertical="center" wrapText="1"/>
    </xf>
    <xf numFmtId="41" fontId="1" fillId="2" borderId="4" xfId="3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3" xfId="3" applyNumberFormat="1" applyFont="1" applyFill="1" applyBorder="1" applyAlignment="1">
      <alignment horizontal="left"/>
    </xf>
    <xf numFmtId="41" fontId="1" fillId="2" borderId="10" xfId="3" applyNumberFormat="1" applyFont="1" applyFill="1" applyBorder="1" applyAlignment="1">
      <alignment horizontal="center" vertical="center" wrapText="1"/>
    </xf>
    <xf numFmtId="41" fontId="1" fillId="2" borderId="3" xfId="3" applyNumberFormat="1" applyFont="1" applyFill="1" applyBorder="1" applyAlignment="1">
      <alignment horizontal="center" vertical="center" wrapText="1"/>
    </xf>
    <xf numFmtId="41" fontId="1" fillId="2" borderId="6" xfId="3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5">
    <cellStyle name="ColLevel_1" xfId="1" builtinId="2" iLevel="0"/>
    <cellStyle name="Comma 2" xfId="4" xr:uid="{00000000-0005-0000-0000-000000000000}"/>
    <cellStyle name="Normal" xfId="0" builtinId="0"/>
    <cellStyle name="Normal 2" xfId="2" xr:uid="{00000000-0005-0000-0000-000002000000}"/>
    <cellStyle name="Normal_01_IANVARI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tabSelected="1" zoomScaleNormal="100" workbookViewId="0">
      <selection sqref="A1:S1"/>
    </sheetView>
  </sheetViews>
  <sheetFormatPr defaultColWidth="9.140625" defaultRowHeight="15" x14ac:dyDescent="0.3"/>
  <cols>
    <col min="1" max="1" width="53.7109375" style="4" customWidth="1"/>
    <col min="2" max="2" width="12.42578125" style="10" customWidth="1"/>
    <col min="3" max="6" width="10.7109375" style="10" customWidth="1"/>
    <col min="7" max="7" width="10.7109375" style="5" customWidth="1"/>
    <col min="8" max="19" width="10.7109375" style="10" customWidth="1"/>
    <col min="20" max="20" width="9.140625" style="4" customWidth="1"/>
    <col min="21" max="16384" width="9.140625" style="4"/>
  </cols>
  <sheetData>
    <row r="1" spans="1:27" s="2" customFormat="1" ht="30" customHeight="1" x14ac:dyDescent="0.25">
      <c r="A1" s="55" t="s">
        <v>14</v>
      </c>
      <c r="B1" s="55"/>
      <c r="C1" s="55"/>
      <c r="D1" s="55"/>
      <c r="E1" s="55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27" s="17" customFormat="1" ht="15" customHeight="1" x14ac:dyDescent="0.25">
      <c r="A2" s="49">
        <v>2025</v>
      </c>
      <c r="B2" s="44" t="s">
        <v>0</v>
      </c>
      <c r="C2" s="44"/>
      <c r="D2" s="45"/>
      <c r="E2" s="46" t="s">
        <v>3</v>
      </c>
      <c r="F2" s="47"/>
      <c r="G2" s="48"/>
      <c r="H2" s="46" t="s">
        <v>4</v>
      </c>
      <c r="I2" s="47"/>
      <c r="J2" s="48"/>
      <c r="K2" s="46" t="s">
        <v>5</v>
      </c>
      <c r="L2" s="47"/>
      <c r="M2" s="48"/>
      <c r="N2" s="46" t="s">
        <v>6</v>
      </c>
      <c r="O2" s="47"/>
      <c r="P2" s="48"/>
      <c r="Q2" s="1" t="s">
        <v>15</v>
      </c>
      <c r="R2" s="44"/>
      <c r="S2" s="44"/>
    </row>
    <row r="3" spans="1:27" s="18" customFormat="1" ht="15" customHeight="1" x14ac:dyDescent="0.25">
      <c r="A3" s="50"/>
      <c r="B3" s="40" t="s">
        <v>0</v>
      </c>
      <c r="C3" s="40" t="s">
        <v>11</v>
      </c>
      <c r="D3" s="43" t="s">
        <v>12</v>
      </c>
      <c r="E3" s="39" t="s">
        <v>0</v>
      </c>
      <c r="F3" s="40" t="s">
        <v>2</v>
      </c>
      <c r="G3" s="43" t="s">
        <v>1</v>
      </c>
      <c r="H3" s="39" t="s">
        <v>0</v>
      </c>
      <c r="I3" s="40" t="s">
        <v>2</v>
      </c>
      <c r="J3" s="43" t="s">
        <v>1</v>
      </c>
      <c r="K3" s="39" t="s">
        <v>0</v>
      </c>
      <c r="L3" s="40" t="s">
        <v>2</v>
      </c>
      <c r="M3" s="43" t="s">
        <v>1</v>
      </c>
      <c r="N3" s="39" t="s">
        <v>0</v>
      </c>
      <c r="O3" s="40" t="s">
        <v>2</v>
      </c>
      <c r="P3" s="43" t="s">
        <v>1</v>
      </c>
      <c r="Q3" s="40" t="s">
        <v>0</v>
      </c>
      <c r="R3" s="40" t="s">
        <v>2</v>
      </c>
      <c r="S3" s="40" t="s">
        <v>1</v>
      </c>
    </row>
    <row r="4" spans="1:27" s="11" customFormat="1" ht="15" customHeight="1" x14ac:dyDescent="0.3">
      <c r="A4" s="14" t="s">
        <v>0</v>
      </c>
      <c r="B4" s="19">
        <f>SUM(B5:B8)</f>
        <v>130482</v>
      </c>
      <c r="C4" s="19">
        <f t="shared" ref="C4:S4" si="0">SUM(C5:C8)</f>
        <v>50071</v>
      </c>
      <c r="D4" s="20">
        <f t="shared" si="0"/>
        <v>80411</v>
      </c>
      <c r="E4" s="21">
        <f t="shared" si="0"/>
        <v>18818</v>
      </c>
      <c r="F4" s="19">
        <f t="shared" si="0"/>
        <v>6645</v>
      </c>
      <c r="G4" s="20">
        <f t="shared" si="0"/>
        <v>12173</v>
      </c>
      <c r="H4" s="21">
        <f t="shared" si="0"/>
        <v>26769</v>
      </c>
      <c r="I4" s="19">
        <f t="shared" si="0"/>
        <v>11352</v>
      </c>
      <c r="J4" s="19">
        <f t="shared" si="0"/>
        <v>15417</v>
      </c>
      <c r="K4" s="34">
        <f t="shared" si="0"/>
        <v>24493</v>
      </c>
      <c r="L4" s="19">
        <f t="shared" si="0"/>
        <v>10766</v>
      </c>
      <c r="M4" s="19">
        <f t="shared" si="0"/>
        <v>13727</v>
      </c>
      <c r="N4" s="34">
        <f t="shared" si="0"/>
        <v>38298</v>
      </c>
      <c r="O4" s="19">
        <f t="shared" si="0"/>
        <v>17436</v>
      </c>
      <c r="P4" s="19">
        <f t="shared" si="0"/>
        <v>20862</v>
      </c>
      <c r="Q4" s="34">
        <f t="shared" si="0"/>
        <v>22104</v>
      </c>
      <c r="R4" s="19">
        <f t="shared" si="0"/>
        <v>3872</v>
      </c>
      <c r="S4" s="19">
        <f t="shared" si="0"/>
        <v>18232</v>
      </c>
      <c r="T4" s="28"/>
      <c r="U4" s="28"/>
      <c r="V4" s="28"/>
      <c r="W4" s="28"/>
      <c r="X4" s="28"/>
      <c r="Y4" s="28"/>
      <c r="Z4" s="28"/>
      <c r="AA4" s="28"/>
    </row>
    <row r="5" spans="1:27" s="5" customFormat="1" ht="15" customHeight="1" x14ac:dyDescent="0.3">
      <c r="A5" s="12" t="s">
        <v>7</v>
      </c>
      <c r="B5" s="22">
        <v>18819</v>
      </c>
      <c r="C5" s="22">
        <v>6645</v>
      </c>
      <c r="D5" s="23">
        <v>12174</v>
      </c>
      <c r="E5" s="24">
        <v>18818</v>
      </c>
      <c r="F5" s="22">
        <v>6645</v>
      </c>
      <c r="G5" s="23">
        <v>12173</v>
      </c>
      <c r="H5" s="24">
        <v>1</v>
      </c>
      <c r="I5" s="22">
        <v>0</v>
      </c>
      <c r="J5" s="22">
        <v>1</v>
      </c>
      <c r="K5" s="35">
        <v>0</v>
      </c>
      <c r="L5" s="30">
        <v>0</v>
      </c>
      <c r="M5" s="30">
        <v>0</v>
      </c>
      <c r="N5" s="35">
        <v>0</v>
      </c>
      <c r="O5" s="30">
        <v>0</v>
      </c>
      <c r="P5" s="30">
        <v>0</v>
      </c>
      <c r="Q5" s="35">
        <v>0</v>
      </c>
      <c r="R5" s="30">
        <v>0</v>
      </c>
      <c r="S5" s="30">
        <v>0</v>
      </c>
      <c r="T5" s="8"/>
      <c r="U5" s="8"/>
      <c r="V5" s="8"/>
      <c r="W5" s="8"/>
      <c r="X5" s="8"/>
      <c r="Y5" s="8"/>
      <c r="Z5" s="8"/>
      <c r="AA5" s="8"/>
    </row>
    <row r="6" spans="1:27" s="5" customFormat="1" ht="15" customHeight="1" x14ac:dyDescent="0.3">
      <c r="A6" s="12" t="s">
        <v>8</v>
      </c>
      <c r="B6" s="22">
        <v>32151</v>
      </c>
      <c r="C6" s="22">
        <v>12230</v>
      </c>
      <c r="D6" s="23">
        <v>19921</v>
      </c>
      <c r="E6" s="30">
        <v>0</v>
      </c>
      <c r="F6" s="30">
        <v>0</v>
      </c>
      <c r="G6" s="30">
        <v>0</v>
      </c>
      <c r="H6" s="24">
        <v>7078</v>
      </c>
      <c r="I6" s="22">
        <v>2887</v>
      </c>
      <c r="J6" s="22">
        <v>4191</v>
      </c>
      <c r="K6" s="24">
        <v>5889</v>
      </c>
      <c r="L6" s="22">
        <v>2411</v>
      </c>
      <c r="M6" s="22">
        <v>3478</v>
      </c>
      <c r="N6" s="24">
        <v>8744</v>
      </c>
      <c r="O6" s="22">
        <v>3275</v>
      </c>
      <c r="P6" s="22">
        <v>5469</v>
      </c>
      <c r="Q6" s="24">
        <v>10440</v>
      </c>
      <c r="R6" s="22">
        <v>3657</v>
      </c>
      <c r="S6" s="22">
        <v>6783</v>
      </c>
    </row>
    <row r="7" spans="1:27" s="5" customFormat="1" ht="15" customHeight="1" x14ac:dyDescent="0.3">
      <c r="A7" s="12" t="s">
        <v>9</v>
      </c>
      <c r="B7" s="22">
        <v>73514</v>
      </c>
      <c r="C7" s="22">
        <v>28795</v>
      </c>
      <c r="D7" s="23">
        <v>44719</v>
      </c>
      <c r="E7" s="30">
        <v>0</v>
      </c>
      <c r="F7" s="30">
        <v>0</v>
      </c>
      <c r="G7" s="30">
        <v>0</v>
      </c>
      <c r="H7" s="24">
        <v>16774</v>
      </c>
      <c r="I7" s="22">
        <v>7243</v>
      </c>
      <c r="J7" s="22">
        <v>9531</v>
      </c>
      <c r="K7" s="24">
        <v>17059</v>
      </c>
      <c r="L7" s="22">
        <v>7702</v>
      </c>
      <c r="M7" s="22">
        <v>9357</v>
      </c>
      <c r="N7" s="24">
        <v>28280</v>
      </c>
      <c r="O7" s="22">
        <v>13636</v>
      </c>
      <c r="P7" s="22">
        <v>14644</v>
      </c>
      <c r="Q7" s="24">
        <v>11401</v>
      </c>
      <c r="R7" s="22">
        <v>214</v>
      </c>
      <c r="S7" s="22">
        <v>11187</v>
      </c>
    </row>
    <row r="8" spans="1:27" s="5" customFormat="1" ht="15" customHeight="1" x14ac:dyDescent="0.3">
      <c r="A8" s="13" t="s">
        <v>10</v>
      </c>
      <c r="B8" s="25">
        <v>5998</v>
      </c>
      <c r="C8" s="25">
        <v>2401</v>
      </c>
      <c r="D8" s="26">
        <v>3597</v>
      </c>
      <c r="E8" s="31">
        <v>0</v>
      </c>
      <c r="F8" s="32">
        <v>0</v>
      </c>
      <c r="G8" s="33">
        <v>0</v>
      </c>
      <c r="H8" s="27">
        <v>2916</v>
      </c>
      <c r="I8" s="25">
        <v>1222</v>
      </c>
      <c r="J8" s="25">
        <v>1694</v>
      </c>
      <c r="K8" s="27">
        <v>1545</v>
      </c>
      <c r="L8" s="25">
        <v>653</v>
      </c>
      <c r="M8" s="26">
        <v>892</v>
      </c>
      <c r="N8" s="27">
        <v>1274</v>
      </c>
      <c r="O8" s="25">
        <v>525</v>
      </c>
      <c r="P8" s="25">
        <v>749</v>
      </c>
      <c r="Q8" s="27">
        <v>263</v>
      </c>
      <c r="R8" s="25">
        <v>1</v>
      </c>
      <c r="S8" s="25">
        <v>262</v>
      </c>
    </row>
    <row r="9" spans="1:27" ht="15" customHeight="1" x14ac:dyDescent="0.3">
      <c r="A9" s="12"/>
      <c r="B9" s="37"/>
      <c r="C9" s="38"/>
      <c r="D9" s="38"/>
      <c r="E9" s="30"/>
      <c r="F9" s="30"/>
      <c r="G9" s="30"/>
      <c r="H9" s="37"/>
      <c r="I9" s="38"/>
      <c r="J9" s="38"/>
      <c r="K9" s="37"/>
      <c r="L9" s="38"/>
      <c r="M9" s="38"/>
      <c r="N9" s="37"/>
      <c r="O9" s="38"/>
      <c r="P9" s="38"/>
      <c r="Q9" s="37"/>
      <c r="R9" s="38"/>
      <c r="S9" s="38"/>
    </row>
    <row r="10" spans="1:27" s="17" customFormat="1" ht="15" customHeight="1" x14ac:dyDescent="0.25">
      <c r="A10" s="49">
        <v>2024</v>
      </c>
      <c r="B10" s="44" t="s">
        <v>0</v>
      </c>
      <c r="C10" s="44"/>
      <c r="D10" s="45"/>
      <c r="E10" s="46" t="s">
        <v>3</v>
      </c>
      <c r="F10" s="47"/>
      <c r="G10" s="48"/>
      <c r="H10" s="46" t="s">
        <v>4</v>
      </c>
      <c r="I10" s="47"/>
      <c r="J10" s="48"/>
      <c r="K10" s="46" t="s">
        <v>5</v>
      </c>
      <c r="L10" s="47"/>
      <c r="M10" s="48"/>
      <c r="N10" s="46" t="s">
        <v>6</v>
      </c>
      <c r="O10" s="47"/>
      <c r="P10" s="48"/>
      <c r="Q10" s="1" t="s">
        <v>15</v>
      </c>
      <c r="R10" s="44"/>
      <c r="S10" s="44"/>
    </row>
    <row r="11" spans="1:27" s="18" customFormat="1" ht="15" customHeight="1" x14ac:dyDescent="0.25">
      <c r="A11" s="50"/>
      <c r="B11" s="40" t="s">
        <v>0</v>
      </c>
      <c r="C11" s="40" t="s">
        <v>11</v>
      </c>
      <c r="D11" s="43" t="s">
        <v>12</v>
      </c>
      <c r="E11" s="39" t="s">
        <v>0</v>
      </c>
      <c r="F11" s="40" t="s">
        <v>2</v>
      </c>
      <c r="G11" s="43" t="s">
        <v>1</v>
      </c>
      <c r="H11" s="39" t="s">
        <v>0</v>
      </c>
      <c r="I11" s="40" t="s">
        <v>2</v>
      </c>
      <c r="J11" s="43" t="s">
        <v>1</v>
      </c>
      <c r="K11" s="39" t="s">
        <v>0</v>
      </c>
      <c r="L11" s="40" t="s">
        <v>2</v>
      </c>
      <c r="M11" s="43" t="s">
        <v>1</v>
      </c>
      <c r="N11" s="39" t="s">
        <v>0</v>
      </c>
      <c r="O11" s="40" t="s">
        <v>2</v>
      </c>
      <c r="P11" s="43" t="s">
        <v>1</v>
      </c>
      <c r="Q11" s="40" t="s">
        <v>0</v>
      </c>
      <c r="R11" s="40" t="s">
        <v>2</v>
      </c>
      <c r="S11" s="40" t="s">
        <v>1</v>
      </c>
    </row>
    <row r="12" spans="1:27" s="11" customFormat="1" ht="15" customHeight="1" x14ac:dyDescent="0.3">
      <c r="A12" s="14" t="s">
        <v>0</v>
      </c>
      <c r="B12" s="19">
        <f>SUM(B13:B16)</f>
        <v>131803</v>
      </c>
      <c r="C12" s="19">
        <f t="shared" ref="C12:S12" si="1">SUM(C13:C16)</f>
        <v>49727</v>
      </c>
      <c r="D12" s="20">
        <f t="shared" si="1"/>
        <v>82076</v>
      </c>
      <c r="E12" s="21">
        <f t="shared" si="1"/>
        <v>17203</v>
      </c>
      <c r="F12" s="19">
        <f t="shared" si="1"/>
        <v>6137</v>
      </c>
      <c r="G12" s="20">
        <f t="shared" si="1"/>
        <v>11066</v>
      </c>
      <c r="H12" s="21">
        <f t="shared" si="1"/>
        <v>26889</v>
      </c>
      <c r="I12" s="19">
        <f t="shared" si="1"/>
        <v>11341</v>
      </c>
      <c r="J12" s="19">
        <f t="shared" si="1"/>
        <v>15548</v>
      </c>
      <c r="K12" s="34">
        <f t="shared" si="1"/>
        <v>24472</v>
      </c>
      <c r="L12" s="19">
        <f t="shared" si="1"/>
        <v>10527</v>
      </c>
      <c r="M12" s="19">
        <f t="shared" si="1"/>
        <v>13945</v>
      </c>
      <c r="N12" s="34">
        <f t="shared" si="1"/>
        <v>39839</v>
      </c>
      <c r="O12" s="19">
        <f t="shared" si="1"/>
        <v>17899</v>
      </c>
      <c r="P12" s="19">
        <f t="shared" si="1"/>
        <v>21940</v>
      </c>
      <c r="Q12" s="34">
        <f t="shared" si="1"/>
        <v>23400</v>
      </c>
      <c r="R12" s="19">
        <f t="shared" si="1"/>
        <v>3823</v>
      </c>
      <c r="S12" s="19">
        <f t="shared" si="1"/>
        <v>19577</v>
      </c>
      <c r="T12" s="28"/>
      <c r="U12" s="28"/>
      <c r="V12" s="28"/>
      <c r="W12" s="28"/>
      <c r="X12" s="28"/>
      <c r="Y12" s="28"/>
      <c r="Z12" s="28"/>
      <c r="AA12" s="28"/>
    </row>
    <row r="13" spans="1:27" s="5" customFormat="1" ht="15" customHeight="1" x14ac:dyDescent="0.3">
      <c r="A13" s="12" t="s">
        <v>7</v>
      </c>
      <c r="B13" s="22">
        <v>17206</v>
      </c>
      <c r="C13" s="22">
        <v>6138</v>
      </c>
      <c r="D13" s="23">
        <v>11068</v>
      </c>
      <c r="E13" s="24">
        <v>17203</v>
      </c>
      <c r="F13" s="22">
        <v>6137</v>
      </c>
      <c r="G13" s="23">
        <v>11066</v>
      </c>
      <c r="H13" s="24">
        <v>3</v>
      </c>
      <c r="I13" s="22">
        <v>1</v>
      </c>
      <c r="J13" s="22">
        <v>2</v>
      </c>
      <c r="K13" s="35">
        <v>0</v>
      </c>
      <c r="L13" s="30">
        <v>0</v>
      </c>
      <c r="M13" s="30">
        <v>0</v>
      </c>
      <c r="N13" s="35">
        <v>0</v>
      </c>
      <c r="O13" s="30">
        <v>0</v>
      </c>
      <c r="P13" s="30">
        <v>0</v>
      </c>
      <c r="Q13" s="35">
        <v>0</v>
      </c>
      <c r="R13" s="30">
        <v>0</v>
      </c>
      <c r="S13" s="30">
        <v>0</v>
      </c>
      <c r="T13" s="8"/>
      <c r="U13" s="8"/>
      <c r="V13" s="8"/>
      <c r="W13" s="8"/>
      <c r="X13" s="8"/>
      <c r="Y13" s="8"/>
      <c r="Z13" s="8"/>
      <c r="AA13" s="8"/>
    </row>
    <row r="14" spans="1:27" ht="15" customHeight="1" x14ac:dyDescent="0.3">
      <c r="A14" s="12" t="s">
        <v>8</v>
      </c>
      <c r="B14" s="22">
        <v>30915</v>
      </c>
      <c r="C14" s="22">
        <v>11661</v>
      </c>
      <c r="D14" s="23">
        <v>19254</v>
      </c>
      <c r="E14" s="30">
        <v>0</v>
      </c>
      <c r="F14" s="30">
        <v>0</v>
      </c>
      <c r="G14" s="30">
        <v>0</v>
      </c>
      <c r="H14" s="24">
        <v>6876</v>
      </c>
      <c r="I14" s="22">
        <v>2796</v>
      </c>
      <c r="J14" s="22">
        <v>4080</v>
      </c>
      <c r="K14" s="24">
        <v>5523</v>
      </c>
      <c r="L14" s="22">
        <v>2198</v>
      </c>
      <c r="M14" s="22">
        <v>3325</v>
      </c>
      <c r="N14" s="24">
        <v>8358</v>
      </c>
      <c r="O14" s="22">
        <v>3078</v>
      </c>
      <c r="P14" s="22">
        <v>5280</v>
      </c>
      <c r="Q14" s="24">
        <v>10158</v>
      </c>
      <c r="R14" s="22">
        <v>3589</v>
      </c>
      <c r="S14" s="22">
        <v>6569</v>
      </c>
    </row>
    <row r="15" spans="1:27" s="5" customFormat="1" ht="15" customHeight="1" x14ac:dyDescent="0.3">
      <c r="A15" s="12" t="s">
        <v>9</v>
      </c>
      <c r="B15" s="22">
        <v>73909</v>
      </c>
      <c r="C15" s="22">
        <v>28643</v>
      </c>
      <c r="D15" s="23">
        <v>45266</v>
      </c>
      <c r="E15" s="30">
        <v>0</v>
      </c>
      <c r="F15" s="30">
        <v>0</v>
      </c>
      <c r="G15" s="30">
        <v>0</v>
      </c>
      <c r="H15" s="24">
        <v>16876</v>
      </c>
      <c r="I15" s="22">
        <v>7256</v>
      </c>
      <c r="J15" s="22">
        <v>9620</v>
      </c>
      <c r="K15" s="24">
        <v>16751</v>
      </c>
      <c r="L15" s="22">
        <v>7487</v>
      </c>
      <c r="M15" s="22">
        <v>9264</v>
      </c>
      <c r="N15" s="24">
        <v>28269</v>
      </c>
      <c r="O15" s="22">
        <v>13675</v>
      </c>
      <c r="P15" s="22">
        <v>14594</v>
      </c>
      <c r="Q15" s="24">
        <v>12013</v>
      </c>
      <c r="R15" s="22">
        <v>225</v>
      </c>
      <c r="S15" s="22">
        <v>11788</v>
      </c>
    </row>
    <row r="16" spans="1:27" ht="15" customHeight="1" x14ac:dyDescent="0.3">
      <c r="A16" s="13" t="s">
        <v>10</v>
      </c>
      <c r="B16" s="25">
        <v>9773</v>
      </c>
      <c r="C16" s="25">
        <v>3285</v>
      </c>
      <c r="D16" s="26">
        <v>6488</v>
      </c>
      <c r="E16" s="31">
        <v>0</v>
      </c>
      <c r="F16" s="32">
        <v>0</v>
      </c>
      <c r="G16" s="33">
        <v>0</v>
      </c>
      <c r="H16" s="27">
        <v>3134</v>
      </c>
      <c r="I16" s="25">
        <v>1288</v>
      </c>
      <c r="J16" s="25">
        <v>1846</v>
      </c>
      <c r="K16" s="27">
        <v>2198</v>
      </c>
      <c r="L16" s="25">
        <v>842</v>
      </c>
      <c r="M16" s="26">
        <v>1356</v>
      </c>
      <c r="N16" s="27">
        <v>3212</v>
      </c>
      <c r="O16" s="25">
        <v>1146</v>
      </c>
      <c r="P16" s="25">
        <v>2066</v>
      </c>
      <c r="Q16" s="27">
        <v>1229</v>
      </c>
      <c r="R16" s="25">
        <v>9</v>
      </c>
      <c r="S16" s="25">
        <v>1220</v>
      </c>
    </row>
    <row r="17" spans="1:19" ht="15" customHeight="1" x14ac:dyDescent="0.3">
      <c r="A17" s="12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s="17" customFormat="1" ht="15" customHeight="1" x14ac:dyDescent="0.25">
      <c r="A18" s="49">
        <v>2023</v>
      </c>
      <c r="B18" s="44" t="s">
        <v>0</v>
      </c>
      <c r="C18" s="44"/>
      <c r="D18" s="45"/>
      <c r="E18" s="46" t="s">
        <v>3</v>
      </c>
      <c r="F18" s="47"/>
      <c r="G18" s="48"/>
      <c r="H18" s="46" t="s">
        <v>4</v>
      </c>
      <c r="I18" s="47"/>
      <c r="J18" s="48"/>
      <c r="K18" s="46" t="s">
        <v>5</v>
      </c>
      <c r="L18" s="47"/>
      <c r="M18" s="48"/>
      <c r="N18" s="46" t="s">
        <v>6</v>
      </c>
      <c r="O18" s="47"/>
      <c r="P18" s="48"/>
      <c r="Q18" s="1" t="s">
        <v>15</v>
      </c>
      <c r="R18" s="44"/>
      <c r="S18" s="44"/>
    </row>
    <row r="19" spans="1:19" s="18" customFormat="1" ht="15" customHeight="1" x14ac:dyDescent="0.25">
      <c r="A19" s="50"/>
      <c r="B19" s="40" t="s">
        <v>0</v>
      </c>
      <c r="C19" s="40" t="s">
        <v>11</v>
      </c>
      <c r="D19" s="43" t="s">
        <v>12</v>
      </c>
      <c r="E19" s="39" t="s">
        <v>0</v>
      </c>
      <c r="F19" s="40" t="s">
        <v>2</v>
      </c>
      <c r="G19" s="43" t="s">
        <v>1</v>
      </c>
      <c r="H19" s="39" t="s">
        <v>0</v>
      </c>
      <c r="I19" s="40" t="s">
        <v>2</v>
      </c>
      <c r="J19" s="43" t="s">
        <v>1</v>
      </c>
      <c r="K19" s="39" t="s">
        <v>0</v>
      </c>
      <c r="L19" s="40" t="s">
        <v>2</v>
      </c>
      <c r="M19" s="43" t="s">
        <v>1</v>
      </c>
      <c r="N19" s="39" t="s">
        <v>0</v>
      </c>
      <c r="O19" s="40" t="s">
        <v>2</v>
      </c>
      <c r="P19" s="43" t="s">
        <v>1</v>
      </c>
      <c r="Q19" s="40" t="s">
        <v>0</v>
      </c>
      <c r="R19" s="40" t="s">
        <v>2</v>
      </c>
      <c r="S19" s="40" t="s">
        <v>1</v>
      </c>
    </row>
    <row r="20" spans="1:19" s="11" customFormat="1" ht="15" customHeight="1" x14ac:dyDescent="0.3">
      <c r="A20" s="14" t="s">
        <v>0</v>
      </c>
      <c r="B20" s="19">
        <v>128613</v>
      </c>
      <c r="C20" s="19">
        <v>48789</v>
      </c>
      <c r="D20" s="20">
        <v>79824</v>
      </c>
      <c r="E20" s="21">
        <v>15434</v>
      </c>
      <c r="F20" s="19">
        <v>5616</v>
      </c>
      <c r="G20" s="20">
        <v>9818</v>
      </c>
      <c r="H20" s="21">
        <v>26712</v>
      </c>
      <c r="I20" s="19">
        <v>11184</v>
      </c>
      <c r="J20" s="19">
        <v>15528</v>
      </c>
      <c r="K20" s="34">
        <v>23900</v>
      </c>
      <c r="L20" s="19">
        <v>10206</v>
      </c>
      <c r="M20" s="19">
        <v>13694</v>
      </c>
      <c r="N20" s="34">
        <v>39914</v>
      </c>
      <c r="O20" s="19">
        <v>18136</v>
      </c>
      <c r="P20" s="19">
        <v>21778</v>
      </c>
      <c r="Q20" s="34">
        <v>22653</v>
      </c>
      <c r="R20" s="19">
        <v>3647</v>
      </c>
      <c r="S20" s="19">
        <v>19006</v>
      </c>
    </row>
    <row r="21" spans="1:19" s="5" customFormat="1" ht="15" customHeight="1" x14ac:dyDescent="0.3">
      <c r="A21" s="12" t="s">
        <v>7</v>
      </c>
      <c r="B21" s="22">
        <v>15434</v>
      </c>
      <c r="C21" s="22">
        <v>5615</v>
      </c>
      <c r="D21" s="23">
        <v>9819</v>
      </c>
      <c r="E21" s="24">
        <v>15433</v>
      </c>
      <c r="F21" s="22">
        <v>5615</v>
      </c>
      <c r="G21" s="23">
        <v>9818</v>
      </c>
      <c r="H21" s="24">
        <v>1</v>
      </c>
      <c r="I21" s="30">
        <v>0</v>
      </c>
      <c r="J21" s="22">
        <v>1</v>
      </c>
      <c r="K21" s="35">
        <v>0</v>
      </c>
      <c r="L21" s="30">
        <v>0</v>
      </c>
      <c r="M21" s="30">
        <v>0</v>
      </c>
      <c r="N21" s="35">
        <v>0</v>
      </c>
      <c r="O21" s="30">
        <v>0</v>
      </c>
      <c r="P21" s="30">
        <v>0</v>
      </c>
      <c r="Q21" s="35">
        <v>0</v>
      </c>
      <c r="R21" s="30">
        <v>0</v>
      </c>
      <c r="S21" s="30">
        <v>0</v>
      </c>
    </row>
    <row r="22" spans="1:19" ht="15" customHeight="1" x14ac:dyDescent="0.3">
      <c r="A22" s="12" t="s">
        <v>8</v>
      </c>
      <c r="B22" s="22">
        <v>30078</v>
      </c>
      <c r="C22" s="22">
        <v>11284</v>
      </c>
      <c r="D22" s="23">
        <v>18794</v>
      </c>
      <c r="E22" s="24">
        <v>1</v>
      </c>
      <c r="F22" s="22">
        <v>1</v>
      </c>
      <c r="G22" s="30">
        <v>0</v>
      </c>
      <c r="H22" s="24">
        <v>6813</v>
      </c>
      <c r="I22" s="22">
        <v>2750</v>
      </c>
      <c r="J22" s="22">
        <v>4063</v>
      </c>
      <c r="K22" s="24">
        <v>5284</v>
      </c>
      <c r="L22" s="22">
        <v>2056</v>
      </c>
      <c r="M22" s="22">
        <v>3228</v>
      </c>
      <c r="N22" s="24">
        <v>8199</v>
      </c>
      <c r="O22" s="22">
        <v>3046</v>
      </c>
      <c r="P22" s="22">
        <v>5153</v>
      </c>
      <c r="Q22" s="24">
        <v>9781</v>
      </c>
      <c r="R22" s="22">
        <v>3431</v>
      </c>
      <c r="S22" s="22">
        <v>6350</v>
      </c>
    </row>
    <row r="23" spans="1:19" s="5" customFormat="1" ht="15" customHeight="1" x14ac:dyDescent="0.3">
      <c r="A23" s="12" t="s">
        <v>9</v>
      </c>
      <c r="B23" s="22">
        <v>73010</v>
      </c>
      <c r="C23" s="22">
        <v>28491</v>
      </c>
      <c r="D23" s="23">
        <v>44519</v>
      </c>
      <c r="E23" s="30">
        <v>0</v>
      </c>
      <c r="F23" s="30">
        <v>0</v>
      </c>
      <c r="G23" s="30">
        <v>0</v>
      </c>
      <c r="H23" s="24">
        <v>16667</v>
      </c>
      <c r="I23" s="22">
        <v>7099</v>
      </c>
      <c r="J23" s="22">
        <v>9568</v>
      </c>
      <c r="K23" s="24">
        <v>16395</v>
      </c>
      <c r="L23" s="22">
        <v>7321</v>
      </c>
      <c r="M23" s="22">
        <v>9074</v>
      </c>
      <c r="N23" s="24">
        <v>28313</v>
      </c>
      <c r="O23" s="22">
        <v>13863</v>
      </c>
      <c r="P23" s="22">
        <v>14450</v>
      </c>
      <c r="Q23" s="24">
        <v>11635</v>
      </c>
      <c r="R23" s="22">
        <v>208</v>
      </c>
      <c r="S23" s="22">
        <v>11427</v>
      </c>
    </row>
    <row r="24" spans="1:19" ht="15" customHeight="1" x14ac:dyDescent="0.3">
      <c r="A24" s="13" t="s">
        <v>10</v>
      </c>
      <c r="B24" s="25">
        <v>10091</v>
      </c>
      <c r="C24" s="25">
        <v>3399</v>
      </c>
      <c r="D24" s="26">
        <v>6692</v>
      </c>
      <c r="E24" s="31">
        <v>0</v>
      </c>
      <c r="F24" s="32">
        <v>0</v>
      </c>
      <c r="G24" s="33">
        <v>0</v>
      </c>
      <c r="H24" s="27">
        <v>3231</v>
      </c>
      <c r="I24" s="25">
        <v>1335</v>
      </c>
      <c r="J24" s="25">
        <v>1896</v>
      </c>
      <c r="K24" s="27">
        <v>2221</v>
      </c>
      <c r="L24" s="25">
        <v>829</v>
      </c>
      <c r="M24" s="25">
        <v>1392</v>
      </c>
      <c r="N24" s="27">
        <v>3402</v>
      </c>
      <c r="O24" s="25">
        <v>1227</v>
      </c>
      <c r="P24" s="25">
        <v>2175</v>
      </c>
      <c r="Q24" s="27">
        <v>1237</v>
      </c>
      <c r="R24" s="25">
        <v>8</v>
      </c>
      <c r="S24" s="25">
        <v>1229</v>
      </c>
    </row>
    <row r="25" spans="1:19" s="2" customFormat="1" ht="15" customHeight="1" x14ac:dyDescent="0.25">
      <c r="A25" s="41"/>
      <c r="B25" s="41"/>
      <c r="C25" s="41"/>
      <c r="D25" s="41"/>
      <c r="E25" s="41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1:19" s="17" customFormat="1" ht="15" customHeight="1" x14ac:dyDescent="0.25">
      <c r="A26" s="49">
        <v>2022</v>
      </c>
      <c r="B26" s="44" t="s">
        <v>0</v>
      </c>
      <c r="C26" s="44"/>
      <c r="D26" s="45"/>
      <c r="E26" s="46" t="s">
        <v>3</v>
      </c>
      <c r="F26" s="47"/>
      <c r="G26" s="48"/>
      <c r="H26" s="46" t="s">
        <v>4</v>
      </c>
      <c r="I26" s="47"/>
      <c r="J26" s="48"/>
      <c r="K26" s="46" t="s">
        <v>5</v>
      </c>
      <c r="L26" s="47"/>
      <c r="M26" s="48"/>
      <c r="N26" s="46" t="s">
        <v>6</v>
      </c>
      <c r="O26" s="47"/>
      <c r="P26" s="48"/>
      <c r="Q26" s="1" t="s">
        <v>15</v>
      </c>
      <c r="R26" s="44"/>
      <c r="S26" s="44"/>
    </row>
    <row r="27" spans="1:19" s="18" customFormat="1" ht="15" customHeight="1" x14ac:dyDescent="0.25">
      <c r="A27" s="50"/>
      <c r="B27" s="40" t="s">
        <v>0</v>
      </c>
      <c r="C27" s="40" t="s">
        <v>11</v>
      </c>
      <c r="D27" s="43" t="s">
        <v>12</v>
      </c>
      <c r="E27" s="39" t="s">
        <v>0</v>
      </c>
      <c r="F27" s="40" t="s">
        <v>2</v>
      </c>
      <c r="G27" s="43" t="s">
        <v>1</v>
      </c>
      <c r="H27" s="39" t="s">
        <v>0</v>
      </c>
      <c r="I27" s="40" t="s">
        <v>2</v>
      </c>
      <c r="J27" s="43" t="s">
        <v>1</v>
      </c>
      <c r="K27" s="39" t="s">
        <v>0</v>
      </c>
      <c r="L27" s="40" t="s">
        <v>2</v>
      </c>
      <c r="M27" s="43" t="s">
        <v>1</v>
      </c>
      <c r="N27" s="39" t="s">
        <v>0</v>
      </c>
      <c r="O27" s="40" t="s">
        <v>2</v>
      </c>
      <c r="P27" s="43" t="s">
        <v>1</v>
      </c>
      <c r="Q27" s="40" t="s">
        <v>0</v>
      </c>
      <c r="R27" s="40" t="s">
        <v>2</v>
      </c>
      <c r="S27" s="40" t="s">
        <v>1</v>
      </c>
    </row>
    <row r="28" spans="1:19" s="11" customFormat="1" ht="15" customHeight="1" x14ac:dyDescent="0.3">
      <c r="A28" s="14" t="s">
        <v>0</v>
      </c>
      <c r="B28" s="19">
        <v>125867</v>
      </c>
      <c r="C28" s="19">
        <v>48115</v>
      </c>
      <c r="D28" s="20">
        <v>77752</v>
      </c>
      <c r="E28" s="21">
        <v>13627</v>
      </c>
      <c r="F28" s="19">
        <v>5130</v>
      </c>
      <c r="G28" s="20">
        <v>8497</v>
      </c>
      <c r="H28" s="21">
        <v>26479</v>
      </c>
      <c r="I28" s="19">
        <v>11060</v>
      </c>
      <c r="J28" s="20">
        <v>15419</v>
      </c>
      <c r="K28" s="21">
        <v>23884</v>
      </c>
      <c r="L28" s="19">
        <v>10073</v>
      </c>
      <c r="M28" s="20">
        <v>13811</v>
      </c>
      <c r="N28" s="21">
        <v>40180</v>
      </c>
      <c r="O28" s="19">
        <v>18425</v>
      </c>
      <c r="P28" s="20">
        <v>21755</v>
      </c>
      <c r="Q28" s="19">
        <v>21697</v>
      </c>
      <c r="R28" s="19">
        <v>3427</v>
      </c>
      <c r="S28" s="19">
        <v>18270</v>
      </c>
    </row>
    <row r="29" spans="1:19" s="5" customFormat="1" ht="15" customHeight="1" x14ac:dyDescent="0.3">
      <c r="A29" s="12" t="s">
        <v>7</v>
      </c>
      <c r="B29" s="22">
        <v>13633</v>
      </c>
      <c r="C29" s="22">
        <v>5133</v>
      </c>
      <c r="D29" s="23">
        <v>8500</v>
      </c>
      <c r="E29" s="24">
        <v>13627</v>
      </c>
      <c r="F29" s="22">
        <v>5130</v>
      </c>
      <c r="G29" s="23">
        <v>8497</v>
      </c>
      <c r="H29" s="24">
        <v>6</v>
      </c>
      <c r="I29" s="22">
        <v>3</v>
      </c>
      <c r="J29" s="22">
        <v>3</v>
      </c>
      <c r="K29" s="35">
        <v>0</v>
      </c>
      <c r="L29" s="30">
        <v>0</v>
      </c>
      <c r="M29" s="30">
        <v>0</v>
      </c>
      <c r="N29" s="35">
        <v>0</v>
      </c>
      <c r="O29" s="30">
        <v>0</v>
      </c>
      <c r="P29" s="30">
        <v>0</v>
      </c>
      <c r="Q29" s="35">
        <v>0</v>
      </c>
      <c r="R29" s="30">
        <v>0</v>
      </c>
      <c r="S29" s="30">
        <v>0</v>
      </c>
    </row>
    <row r="30" spans="1:19" ht="15" customHeight="1" x14ac:dyDescent="0.3">
      <c r="A30" s="12" t="s">
        <v>8</v>
      </c>
      <c r="B30" s="22">
        <v>29253</v>
      </c>
      <c r="C30" s="22">
        <v>10975</v>
      </c>
      <c r="D30" s="23">
        <v>18278</v>
      </c>
      <c r="E30" s="30">
        <v>0</v>
      </c>
      <c r="F30" s="30">
        <v>0</v>
      </c>
      <c r="G30" s="30">
        <v>0</v>
      </c>
      <c r="H30" s="24">
        <v>6673</v>
      </c>
      <c r="I30" s="22">
        <v>2729</v>
      </c>
      <c r="J30" s="23">
        <v>3944</v>
      </c>
      <c r="K30" s="24">
        <v>5239</v>
      </c>
      <c r="L30" s="22">
        <v>1959</v>
      </c>
      <c r="M30" s="23">
        <v>3280</v>
      </c>
      <c r="N30" s="24">
        <v>8147</v>
      </c>
      <c r="O30" s="22">
        <v>3060</v>
      </c>
      <c r="P30" s="23">
        <v>5087</v>
      </c>
      <c r="Q30" s="22">
        <v>9194</v>
      </c>
      <c r="R30" s="22">
        <v>3227</v>
      </c>
      <c r="S30" s="22">
        <v>5967</v>
      </c>
    </row>
    <row r="31" spans="1:19" s="5" customFormat="1" ht="15" customHeight="1" x14ac:dyDescent="0.3">
      <c r="A31" s="12" t="s">
        <v>9</v>
      </c>
      <c r="B31" s="22">
        <v>72476</v>
      </c>
      <c r="C31" s="22">
        <v>28477</v>
      </c>
      <c r="D31" s="23">
        <v>43999</v>
      </c>
      <c r="E31" s="30">
        <v>0</v>
      </c>
      <c r="F31" s="30">
        <v>0</v>
      </c>
      <c r="G31" s="30">
        <v>0</v>
      </c>
      <c r="H31" s="24">
        <v>16491</v>
      </c>
      <c r="I31" s="22">
        <v>6959</v>
      </c>
      <c r="J31" s="23">
        <v>9532</v>
      </c>
      <c r="K31" s="24">
        <v>16351</v>
      </c>
      <c r="L31" s="22">
        <v>7278</v>
      </c>
      <c r="M31" s="23">
        <v>9073</v>
      </c>
      <c r="N31" s="24">
        <v>28425</v>
      </c>
      <c r="O31" s="22">
        <v>14047</v>
      </c>
      <c r="P31" s="23">
        <v>14378</v>
      </c>
      <c r="Q31" s="22">
        <v>11209</v>
      </c>
      <c r="R31" s="22">
        <v>193</v>
      </c>
      <c r="S31" s="22">
        <v>11016</v>
      </c>
    </row>
    <row r="32" spans="1:19" ht="15" customHeight="1" x14ac:dyDescent="0.3">
      <c r="A32" s="13" t="s">
        <v>10</v>
      </c>
      <c r="B32" s="25">
        <v>10505</v>
      </c>
      <c r="C32" s="25">
        <v>3530</v>
      </c>
      <c r="D32" s="26">
        <v>6975</v>
      </c>
      <c r="E32" s="31">
        <v>0</v>
      </c>
      <c r="F32" s="32">
        <v>0</v>
      </c>
      <c r="G32" s="33">
        <v>0</v>
      </c>
      <c r="H32" s="27">
        <v>3309</v>
      </c>
      <c r="I32" s="25">
        <v>1369</v>
      </c>
      <c r="J32" s="26">
        <v>1940</v>
      </c>
      <c r="K32" s="27">
        <v>2294</v>
      </c>
      <c r="L32" s="25">
        <v>836</v>
      </c>
      <c r="M32" s="26">
        <v>1458</v>
      </c>
      <c r="N32" s="27">
        <v>3608</v>
      </c>
      <c r="O32" s="25">
        <v>1318</v>
      </c>
      <c r="P32" s="26">
        <v>2290</v>
      </c>
      <c r="Q32" s="25">
        <v>1294</v>
      </c>
      <c r="R32" s="25">
        <v>7</v>
      </c>
      <c r="S32" s="25">
        <v>1287</v>
      </c>
    </row>
    <row r="33" spans="1:19" s="2" customFormat="1" ht="15" customHeight="1" x14ac:dyDescent="0.3">
      <c r="A33" s="12"/>
      <c r="B33" s="41"/>
      <c r="C33" s="41"/>
      <c r="D33" s="41"/>
      <c r="E33" s="41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 spans="1:19" s="17" customFormat="1" ht="15" customHeight="1" x14ac:dyDescent="0.25">
      <c r="A34" s="49">
        <v>2021</v>
      </c>
      <c r="B34" s="44" t="s">
        <v>0</v>
      </c>
      <c r="C34" s="44"/>
      <c r="D34" s="45"/>
      <c r="E34" s="46" t="s">
        <v>3</v>
      </c>
      <c r="F34" s="47"/>
      <c r="G34" s="48"/>
      <c r="H34" s="46" t="s">
        <v>4</v>
      </c>
      <c r="I34" s="47"/>
      <c r="J34" s="48"/>
      <c r="K34" s="46" t="s">
        <v>5</v>
      </c>
      <c r="L34" s="47"/>
      <c r="M34" s="48"/>
      <c r="N34" s="46" t="s">
        <v>6</v>
      </c>
      <c r="O34" s="47"/>
      <c r="P34" s="48"/>
      <c r="Q34" s="1" t="s">
        <v>15</v>
      </c>
      <c r="R34" s="44"/>
      <c r="S34" s="44"/>
    </row>
    <row r="35" spans="1:19" s="18" customFormat="1" ht="15" customHeight="1" x14ac:dyDescent="0.25">
      <c r="A35" s="50"/>
      <c r="B35" s="40" t="s">
        <v>0</v>
      </c>
      <c r="C35" s="40" t="s">
        <v>11</v>
      </c>
      <c r="D35" s="43" t="s">
        <v>12</v>
      </c>
      <c r="E35" s="39" t="s">
        <v>0</v>
      </c>
      <c r="F35" s="40" t="s">
        <v>2</v>
      </c>
      <c r="G35" s="43" t="s">
        <v>1</v>
      </c>
      <c r="H35" s="39" t="s">
        <v>0</v>
      </c>
      <c r="I35" s="40" t="s">
        <v>2</v>
      </c>
      <c r="J35" s="43" t="s">
        <v>1</v>
      </c>
      <c r="K35" s="39" t="s">
        <v>0</v>
      </c>
      <c r="L35" s="40" t="s">
        <v>2</v>
      </c>
      <c r="M35" s="43" t="s">
        <v>1</v>
      </c>
      <c r="N35" s="39" t="s">
        <v>0</v>
      </c>
      <c r="O35" s="40" t="s">
        <v>2</v>
      </c>
      <c r="P35" s="43" t="s">
        <v>1</v>
      </c>
      <c r="Q35" s="40" t="s">
        <v>0</v>
      </c>
      <c r="R35" s="40" t="s">
        <v>2</v>
      </c>
      <c r="S35" s="40" t="s">
        <v>1</v>
      </c>
    </row>
    <row r="36" spans="1:19" s="11" customFormat="1" ht="15" customHeight="1" x14ac:dyDescent="0.3">
      <c r="A36" s="14" t="s">
        <v>0</v>
      </c>
      <c r="B36" s="19">
        <v>127954</v>
      </c>
      <c r="C36" s="19">
        <v>50048</v>
      </c>
      <c r="D36" s="20">
        <v>77906</v>
      </c>
      <c r="E36" s="21">
        <v>12889</v>
      </c>
      <c r="F36" s="19">
        <v>4984</v>
      </c>
      <c r="G36" s="20">
        <v>7905</v>
      </c>
      <c r="H36" s="21">
        <v>27914</v>
      </c>
      <c r="I36" s="19">
        <v>11595</v>
      </c>
      <c r="J36" s="20">
        <v>16319</v>
      </c>
      <c r="K36" s="21">
        <v>24957</v>
      </c>
      <c r="L36" s="19">
        <v>10586</v>
      </c>
      <c r="M36" s="20">
        <v>14371</v>
      </c>
      <c r="N36" s="21">
        <v>41745</v>
      </c>
      <c r="O36" s="19">
        <v>19643</v>
      </c>
      <c r="P36" s="20">
        <v>22102</v>
      </c>
      <c r="Q36" s="19">
        <v>20449</v>
      </c>
      <c r="R36" s="19">
        <v>3240</v>
      </c>
      <c r="S36" s="19">
        <v>17209</v>
      </c>
    </row>
    <row r="37" spans="1:19" s="5" customFormat="1" ht="15" customHeight="1" x14ac:dyDescent="0.3">
      <c r="A37" s="12" t="s">
        <v>7</v>
      </c>
      <c r="B37" s="22">
        <v>12889</v>
      </c>
      <c r="C37" s="22">
        <v>4984</v>
      </c>
      <c r="D37" s="23">
        <v>7905</v>
      </c>
      <c r="E37" s="24">
        <v>12889</v>
      </c>
      <c r="F37" s="22">
        <v>4984</v>
      </c>
      <c r="G37" s="23">
        <v>7905</v>
      </c>
      <c r="H37" s="30">
        <v>0</v>
      </c>
      <c r="I37" s="30">
        <v>0</v>
      </c>
      <c r="J37" s="30">
        <v>0</v>
      </c>
      <c r="K37" s="35">
        <v>0</v>
      </c>
      <c r="L37" s="30">
        <v>0</v>
      </c>
      <c r="M37" s="30">
        <v>0</v>
      </c>
      <c r="N37" s="35">
        <v>0</v>
      </c>
      <c r="O37" s="30">
        <v>0</v>
      </c>
      <c r="P37" s="30">
        <v>0</v>
      </c>
      <c r="Q37" s="35">
        <v>0</v>
      </c>
      <c r="R37" s="30">
        <v>0</v>
      </c>
      <c r="S37" s="30">
        <v>0</v>
      </c>
    </row>
    <row r="38" spans="1:19" ht="15" customHeight="1" x14ac:dyDescent="0.3">
      <c r="A38" s="12" t="s">
        <v>8</v>
      </c>
      <c r="B38" s="22">
        <v>29431</v>
      </c>
      <c r="C38" s="22">
        <v>10973</v>
      </c>
      <c r="D38" s="23">
        <v>18458</v>
      </c>
      <c r="E38" s="30">
        <v>0</v>
      </c>
      <c r="F38" s="30">
        <v>0</v>
      </c>
      <c r="G38" s="30">
        <v>0</v>
      </c>
      <c r="H38" s="24">
        <v>6829</v>
      </c>
      <c r="I38" s="22">
        <v>2762</v>
      </c>
      <c r="J38" s="23">
        <v>4067</v>
      </c>
      <c r="K38" s="24">
        <v>5266</v>
      </c>
      <c r="L38" s="22">
        <v>1958</v>
      </c>
      <c r="M38" s="23">
        <v>3308</v>
      </c>
      <c r="N38" s="24">
        <v>8226</v>
      </c>
      <c r="O38" s="22">
        <v>3113</v>
      </c>
      <c r="P38" s="23">
        <v>5113</v>
      </c>
      <c r="Q38" s="22">
        <v>9110</v>
      </c>
      <c r="R38" s="22">
        <v>3140</v>
      </c>
      <c r="S38" s="22">
        <v>5970</v>
      </c>
    </row>
    <row r="39" spans="1:19" s="5" customFormat="1" ht="15" customHeight="1" x14ac:dyDescent="0.3">
      <c r="A39" s="12" t="s">
        <v>9</v>
      </c>
      <c r="B39" s="22">
        <v>74168</v>
      </c>
      <c r="C39" s="22">
        <v>30247</v>
      </c>
      <c r="D39" s="23">
        <v>43921</v>
      </c>
      <c r="E39" s="30">
        <v>0</v>
      </c>
      <c r="F39" s="30">
        <v>0</v>
      </c>
      <c r="G39" s="30">
        <v>0</v>
      </c>
      <c r="H39" s="24">
        <v>17327</v>
      </c>
      <c r="I39" s="22">
        <v>7291</v>
      </c>
      <c r="J39" s="23">
        <v>10036</v>
      </c>
      <c r="K39" s="24">
        <v>17195</v>
      </c>
      <c r="L39" s="22">
        <v>7750</v>
      </c>
      <c r="M39" s="23">
        <v>9445</v>
      </c>
      <c r="N39" s="24">
        <v>29641</v>
      </c>
      <c r="O39" s="22">
        <v>15112</v>
      </c>
      <c r="P39" s="23">
        <v>14529</v>
      </c>
      <c r="Q39" s="22">
        <v>10005</v>
      </c>
      <c r="R39" s="22">
        <v>94</v>
      </c>
      <c r="S39" s="22">
        <v>9911</v>
      </c>
    </row>
    <row r="40" spans="1:19" ht="15" customHeight="1" x14ac:dyDescent="0.3">
      <c r="A40" s="13" t="s">
        <v>10</v>
      </c>
      <c r="B40" s="25">
        <v>11466</v>
      </c>
      <c r="C40" s="25">
        <v>3844</v>
      </c>
      <c r="D40" s="26">
        <v>7622</v>
      </c>
      <c r="E40" s="31">
        <v>0</v>
      </c>
      <c r="F40" s="32">
        <v>0</v>
      </c>
      <c r="G40" s="33">
        <v>0</v>
      </c>
      <c r="H40" s="27">
        <v>3758</v>
      </c>
      <c r="I40" s="25">
        <v>1542</v>
      </c>
      <c r="J40" s="26">
        <v>2216</v>
      </c>
      <c r="K40" s="27">
        <v>2496</v>
      </c>
      <c r="L40" s="25">
        <v>878</v>
      </c>
      <c r="M40" s="26">
        <v>1618</v>
      </c>
      <c r="N40" s="27">
        <v>3878</v>
      </c>
      <c r="O40" s="25">
        <v>1418</v>
      </c>
      <c r="P40" s="26">
        <v>2460</v>
      </c>
      <c r="Q40" s="25">
        <v>1334</v>
      </c>
      <c r="R40" s="25">
        <v>6</v>
      </c>
      <c r="S40" s="25">
        <v>1328</v>
      </c>
    </row>
    <row r="41" spans="1:19" ht="15" customHeight="1" x14ac:dyDescent="0.3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s="17" customFormat="1" ht="15" customHeight="1" x14ac:dyDescent="0.25">
      <c r="A42" s="49">
        <v>2020</v>
      </c>
      <c r="B42" s="44" t="s">
        <v>0</v>
      </c>
      <c r="C42" s="44"/>
      <c r="D42" s="45"/>
      <c r="E42" s="52" t="s">
        <v>3</v>
      </c>
      <c r="F42" s="53"/>
      <c r="G42" s="54"/>
      <c r="H42" s="52" t="s">
        <v>4</v>
      </c>
      <c r="I42" s="53"/>
      <c r="J42" s="54"/>
      <c r="K42" s="52" t="s">
        <v>5</v>
      </c>
      <c r="L42" s="53"/>
      <c r="M42" s="54"/>
      <c r="N42" s="52" t="s">
        <v>6</v>
      </c>
      <c r="O42" s="53"/>
      <c r="P42" s="54"/>
      <c r="Q42" s="1" t="s">
        <v>15</v>
      </c>
      <c r="R42" s="44"/>
      <c r="S42" s="44"/>
    </row>
    <row r="43" spans="1:19" s="18" customFormat="1" ht="15" customHeight="1" x14ac:dyDescent="0.25">
      <c r="A43" s="50"/>
      <c r="B43" s="40" t="s">
        <v>0</v>
      </c>
      <c r="C43" s="40" t="s">
        <v>11</v>
      </c>
      <c r="D43" s="43" t="s">
        <v>12</v>
      </c>
      <c r="E43" s="39" t="s">
        <v>0</v>
      </c>
      <c r="F43" s="40" t="s">
        <v>2</v>
      </c>
      <c r="G43" s="43" t="s">
        <v>1</v>
      </c>
      <c r="H43" s="39" t="s">
        <v>0</v>
      </c>
      <c r="I43" s="40" t="s">
        <v>2</v>
      </c>
      <c r="J43" s="43" t="s">
        <v>1</v>
      </c>
      <c r="K43" s="39" t="s">
        <v>0</v>
      </c>
      <c r="L43" s="40" t="s">
        <v>2</v>
      </c>
      <c r="M43" s="43" t="s">
        <v>1</v>
      </c>
      <c r="N43" s="39" t="s">
        <v>0</v>
      </c>
      <c r="O43" s="40" t="s">
        <v>2</v>
      </c>
      <c r="P43" s="43" t="s">
        <v>1</v>
      </c>
      <c r="Q43" s="40" t="s">
        <v>0</v>
      </c>
      <c r="R43" s="40" t="s">
        <v>2</v>
      </c>
      <c r="S43" s="40" t="s">
        <v>1</v>
      </c>
    </row>
    <row r="44" spans="1:19" s="11" customFormat="1" ht="15" customHeight="1" x14ac:dyDescent="0.3">
      <c r="A44" s="14" t="s">
        <v>0</v>
      </c>
      <c r="B44" s="19">
        <v>126638</v>
      </c>
      <c r="C44" s="19">
        <v>49223</v>
      </c>
      <c r="D44" s="20">
        <v>77415</v>
      </c>
      <c r="E44" s="21">
        <v>11653</v>
      </c>
      <c r="F44" s="19">
        <v>4505</v>
      </c>
      <c r="G44" s="20">
        <v>7148</v>
      </c>
      <c r="H44" s="21">
        <v>27665</v>
      </c>
      <c r="I44" s="19">
        <v>11363</v>
      </c>
      <c r="J44" s="20">
        <v>16302</v>
      </c>
      <c r="K44" s="21">
        <v>24746</v>
      </c>
      <c r="L44" s="19">
        <v>10409</v>
      </c>
      <c r="M44" s="20">
        <v>14337</v>
      </c>
      <c r="N44" s="21">
        <v>42000</v>
      </c>
      <c r="O44" s="19">
        <v>19838</v>
      </c>
      <c r="P44" s="20">
        <v>22162</v>
      </c>
      <c r="Q44" s="19">
        <v>20574</v>
      </c>
      <c r="R44" s="19">
        <v>3108</v>
      </c>
      <c r="S44" s="19">
        <v>17466</v>
      </c>
    </row>
    <row r="45" spans="1:19" s="5" customFormat="1" ht="15" customHeight="1" x14ac:dyDescent="0.3">
      <c r="A45" s="12" t="s">
        <v>7</v>
      </c>
      <c r="B45" s="22">
        <v>11653</v>
      </c>
      <c r="C45" s="22">
        <v>4505</v>
      </c>
      <c r="D45" s="23">
        <v>7148</v>
      </c>
      <c r="E45" s="24">
        <v>11653</v>
      </c>
      <c r="F45" s="22">
        <v>4505</v>
      </c>
      <c r="G45" s="23">
        <v>7148</v>
      </c>
      <c r="H45" s="30">
        <v>0</v>
      </c>
      <c r="I45" s="30">
        <v>0</v>
      </c>
      <c r="J45" s="30">
        <v>0</v>
      </c>
      <c r="K45" s="35">
        <v>0</v>
      </c>
      <c r="L45" s="30">
        <v>0</v>
      </c>
      <c r="M45" s="30">
        <v>0</v>
      </c>
      <c r="N45" s="35">
        <v>0</v>
      </c>
      <c r="O45" s="30">
        <v>0</v>
      </c>
      <c r="P45" s="30">
        <v>0</v>
      </c>
      <c r="Q45" s="35">
        <v>0</v>
      </c>
      <c r="R45" s="30">
        <v>0</v>
      </c>
      <c r="S45" s="30">
        <v>0</v>
      </c>
    </row>
    <row r="46" spans="1:19" ht="15" customHeight="1" x14ac:dyDescent="0.3">
      <c r="A46" s="12" t="s">
        <v>8</v>
      </c>
      <c r="B46" s="22">
        <v>29924</v>
      </c>
      <c r="C46" s="22">
        <v>10940</v>
      </c>
      <c r="D46" s="23">
        <v>18984</v>
      </c>
      <c r="E46" s="30">
        <v>0</v>
      </c>
      <c r="F46" s="30">
        <v>0</v>
      </c>
      <c r="G46" s="30">
        <v>0</v>
      </c>
      <c r="H46" s="24">
        <v>6945</v>
      </c>
      <c r="I46" s="22">
        <v>2794</v>
      </c>
      <c r="J46" s="23">
        <v>4151</v>
      </c>
      <c r="K46" s="24">
        <v>5302</v>
      </c>
      <c r="L46" s="22">
        <v>1989</v>
      </c>
      <c r="M46" s="23">
        <v>3313</v>
      </c>
      <c r="N46" s="24">
        <v>8358</v>
      </c>
      <c r="O46" s="22">
        <v>3154</v>
      </c>
      <c r="P46" s="23">
        <v>5204</v>
      </c>
      <c r="Q46" s="22">
        <v>9319</v>
      </c>
      <c r="R46" s="22">
        <v>3003</v>
      </c>
      <c r="S46" s="22">
        <v>6316</v>
      </c>
    </row>
    <row r="47" spans="1:19" s="5" customFormat="1" ht="15" customHeight="1" x14ac:dyDescent="0.3">
      <c r="A47" s="12" t="s">
        <v>9</v>
      </c>
      <c r="B47" s="22">
        <v>73373</v>
      </c>
      <c r="C47" s="22">
        <v>29886</v>
      </c>
      <c r="D47" s="23">
        <v>43487</v>
      </c>
      <c r="E47" s="30">
        <v>0</v>
      </c>
      <c r="F47" s="30">
        <v>0</v>
      </c>
      <c r="G47" s="30">
        <v>0</v>
      </c>
      <c r="H47" s="24">
        <v>17108</v>
      </c>
      <c r="I47" s="22">
        <v>7099</v>
      </c>
      <c r="J47" s="23">
        <v>10009</v>
      </c>
      <c r="K47" s="24">
        <v>16837</v>
      </c>
      <c r="L47" s="22">
        <v>7519</v>
      </c>
      <c r="M47" s="23">
        <v>9318</v>
      </c>
      <c r="N47" s="24">
        <v>29541</v>
      </c>
      <c r="O47" s="22">
        <v>15170</v>
      </c>
      <c r="P47" s="23">
        <v>14371</v>
      </c>
      <c r="Q47" s="22">
        <v>9887</v>
      </c>
      <c r="R47" s="22">
        <v>98</v>
      </c>
      <c r="S47" s="22">
        <v>9789</v>
      </c>
    </row>
    <row r="48" spans="1:19" ht="15" customHeight="1" x14ac:dyDescent="0.3">
      <c r="A48" s="13" t="s">
        <v>10</v>
      </c>
      <c r="B48" s="25">
        <v>11688</v>
      </c>
      <c r="C48" s="25">
        <v>3892</v>
      </c>
      <c r="D48" s="26">
        <v>7796</v>
      </c>
      <c r="E48" s="30">
        <v>0</v>
      </c>
      <c r="F48" s="30">
        <v>0</v>
      </c>
      <c r="G48" s="30">
        <v>0</v>
      </c>
      <c r="H48" s="27">
        <v>3612</v>
      </c>
      <c r="I48" s="25">
        <v>1470</v>
      </c>
      <c r="J48" s="26">
        <v>2142</v>
      </c>
      <c r="K48" s="27">
        <v>2607</v>
      </c>
      <c r="L48" s="25">
        <v>901</v>
      </c>
      <c r="M48" s="26">
        <v>1706</v>
      </c>
      <c r="N48" s="27">
        <v>4101</v>
      </c>
      <c r="O48" s="25">
        <v>1514</v>
      </c>
      <c r="P48" s="26">
        <v>2587</v>
      </c>
      <c r="Q48" s="25">
        <v>1368</v>
      </c>
      <c r="R48" s="25">
        <v>7</v>
      </c>
      <c r="S48" s="25">
        <v>1361</v>
      </c>
    </row>
    <row r="49" spans="1:19" s="6" customFormat="1" ht="1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</row>
    <row r="50" spans="1:19" s="17" customFormat="1" ht="15" customHeight="1" x14ac:dyDescent="0.25">
      <c r="A50" s="49">
        <v>2019</v>
      </c>
      <c r="B50" s="44" t="s">
        <v>0</v>
      </c>
      <c r="C50" s="44"/>
      <c r="D50" s="45"/>
      <c r="E50" s="52" t="s">
        <v>3</v>
      </c>
      <c r="F50" s="53"/>
      <c r="G50" s="54"/>
      <c r="H50" s="52" t="s">
        <v>4</v>
      </c>
      <c r="I50" s="53"/>
      <c r="J50" s="54"/>
      <c r="K50" s="52" t="s">
        <v>5</v>
      </c>
      <c r="L50" s="53"/>
      <c r="M50" s="54"/>
      <c r="N50" s="52" t="s">
        <v>6</v>
      </c>
      <c r="O50" s="53"/>
      <c r="P50" s="54"/>
      <c r="Q50" s="1" t="s">
        <v>15</v>
      </c>
      <c r="R50" s="44"/>
      <c r="S50" s="44"/>
    </row>
    <row r="51" spans="1:19" s="18" customFormat="1" ht="15" customHeight="1" x14ac:dyDescent="0.25">
      <c r="A51" s="50"/>
      <c r="B51" s="40" t="s">
        <v>0</v>
      </c>
      <c r="C51" s="40" t="s">
        <v>11</v>
      </c>
      <c r="D51" s="43" t="s">
        <v>12</v>
      </c>
      <c r="E51" s="39" t="s">
        <v>0</v>
      </c>
      <c r="F51" s="40" t="s">
        <v>2</v>
      </c>
      <c r="G51" s="43" t="s">
        <v>1</v>
      </c>
      <c r="H51" s="39" t="s">
        <v>0</v>
      </c>
      <c r="I51" s="40" t="s">
        <v>2</v>
      </c>
      <c r="J51" s="43" t="s">
        <v>1</v>
      </c>
      <c r="K51" s="39" t="s">
        <v>0</v>
      </c>
      <c r="L51" s="40" t="s">
        <v>2</v>
      </c>
      <c r="M51" s="43" t="s">
        <v>1</v>
      </c>
      <c r="N51" s="39" t="s">
        <v>0</v>
      </c>
      <c r="O51" s="40" t="s">
        <v>2</v>
      </c>
      <c r="P51" s="43" t="s">
        <v>1</v>
      </c>
      <c r="Q51" s="40" t="s">
        <v>0</v>
      </c>
      <c r="R51" s="40" t="s">
        <v>2</v>
      </c>
      <c r="S51" s="40" t="s">
        <v>1</v>
      </c>
    </row>
    <row r="52" spans="1:19" s="3" customFormat="1" ht="15" customHeight="1" x14ac:dyDescent="0.3">
      <c r="A52" s="14" t="s">
        <v>0</v>
      </c>
      <c r="B52" s="19">
        <v>126002</v>
      </c>
      <c r="C52" s="19">
        <v>49300</v>
      </c>
      <c r="D52" s="20">
        <v>76702</v>
      </c>
      <c r="E52" s="21">
        <v>11142</v>
      </c>
      <c r="F52" s="19">
        <v>4331</v>
      </c>
      <c r="G52" s="20">
        <v>6811</v>
      </c>
      <c r="H52" s="21">
        <v>27824</v>
      </c>
      <c r="I52" s="19">
        <v>11388</v>
      </c>
      <c r="J52" s="20">
        <v>16436</v>
      </c>
      <c r="K52" s="21">
        <v>25076</v>
      </c>
      <c r="L52" s="19">
        <v>10572</v>
      </c>
      <c r="M52" s="20">
        <v>14504</v>
      </c>
      <c r="N52" s="21">
        <v>43175</v>
      </c>
      <c r="O52" s="19">
        <v>20714</v>
      </c>
      <c r="P52" s="20">
        <v>22461</v>
      </c>
      <c r="Q52" s="19">
        <v>18785</v>
      </c>
      <c r="R52" s="19">
        <v>2295</v>
      </c>
      <c r="S52" s="19">
        <v>16490</v>
      </c>
    </row>
    <row r="53" spans="1:19" s="5" customFormat="1" ht="15" customHeight="1" x14ac:dyDescent="0.3">
      <c r="A53" s="12" t="s">
        <v>7</v>
      </c>
      <c r="B53" s="22">
        <v>11141</v>
      </c>
      <c r="C53" s="22">
        <v>4331</v>
      </c>
      <c r="D53" s="23">
        <v>6810</v>
      </c>
      <c r="E53" s="24">
        <v>11141</v>
      </c>
      <c r="F53" s="22">
        <v>4331</v>
      </c>
      <c r="G53" s="23">
        <v>6810</v>
      </c>
      <c r="H53" s="30">
        <v>0</v>
      </c>
      <c r="I53" s="30">
        <v>0</v>
      </c>
      <c r="J53" s="30">
        <v>0</v>
      </c>
      <c r="K53" s="35">
        <v>0</v>
      </c>
      <c r="L53" s="30">
        <v>0</v>
      </c>
      <c r="M53" s="30">
        <v>0</v>
      </c>
      <c r="N53" s="35">
        <v>0</v>
      </c>
      <c r="O53" s="30">
        <v>0</v>
      </c>
      <c r="P53" s="30">
        <v>0</v>
      </c>
      <c r="Q53" s="35">
        <v>0</v>
      </c>
      <c r="R53" s="30">
        <v>0</v>
      </c>
      <c r="S53" s="30">
        <v>0</v>
      </c>
    </row>
    <row r="54" spans="1:19" ht="15" customHeight="1" x14ac:dyDescent="0.3">
      <c r="A54" s="12" t="s">
        <v>8</v>
      </c>
      <c r="B54" s="22">
        <v>28261</v>
      </c>
      <c r="C54" s="22">
        <v>10136</v>
      </c>
      <c r="D54" s="23">
        <v>18125</v>
      </c>
      <c r="E54" s="24">
        <v>1</v>
      </c>
      <c r="F54" s="30">
        <v>0</v>
      </c>
      <c r="G54" s="22">
        <v>1</v>
      </c>
      <c r="H54" s="24">
        <v>6940</v>
      </c>
      <c r="I54" s="22">
        <v>2789</v>
      </c>
      <c r="J54" s="23">
        <v>4151</v>
      </c>
      <c r="K54" s="24">
        <v>5268</v>
      </c>
      <c r="L54" s="22">
        <v>1967</v>
      </c>
      <c r="M54" s="23">
        <v>3301</v>
      </c>
      <c r="N54" s="24">
        <v>8320</v>
      </c>
      <c r="O54" s="22">
        <v>3152</v>
      </c>
      <c r="P54" s="23">
        <v>5168</v>
      </c>
      <c r="Q54" s="22">
        <v>7732</v>
      </c>
      <c r="R54" s="22">
        <v>2228</v>
      </c>
      <c r="S54" s="22">
        <v>5504</v>
      </c>
    </row>
    <row r="55" spans="1:19" s="5" customFormat="1" ht="15" customHeight="1" x14ac:dyDescent="0.3">
      <c r="A55" s="12" t="s">
        <v>9</v>
      </c>
      <c r="B55" s="22">
        <v>74462</v>
      </c>
      <c r="C55" s="22">
        <v>30760</v>
      </c>
      <c r="D55" s="23">
        <v>43702</v>
      </c>
      <c r="E55" s="30">
        <v>0</v>
      </c>
      <c r="F55" s="30">
        <v>0</v>
      </c>
      <c r="G55" s="30">
        <v>0</v>
      </c>
      <c r="H55" s="24">
        <v>17200</v>
      </c>
      <c r="I55" s="22">
        <v>7103</v>
      </c>
      <c r="J55" s="23">
        <v>10097</v>
      </c>
      <c r="K55" s="24">
        <v>17064</v>
      </c>
      <c r="L55" s="22">
        <v>7648</v>
      </c>
      <c r="M55" s="23">
        <v>9416</v>
      </c>
      <c r="N55" s="24">
        <v>30509</v>
      </c>
      <c r="O55" s="22">
        <v>15949</v>
      </c>
      <c r="P55" s="23">
        <v>14560</v>
      </c>
      <c r="Q55" s="22">
        <v>9689</v>
      </c>
      <c r="R55" s="22">
        <v>60</v>
      </c>
      <c r="S55" s="22">
        <v>9629</v>
      </c>
    </row>
    <row r="56" spans="1:19" ht="15" customHeight="1" x14ac:dyDescent="0.3">
      <c r="A56" s="13" t="s">
        <v>10</v>
      </c>
      <c r="B56" s="25">
        <v>12138</v>
      </c>
      <c r="C56" s="25">
        <v>4073</v>
      </c>
      <c r="D56" s="26">
        <v>8065</v>
      </c>
      <c r="E56" s="30">
        <v>0</v>
      </c>
      <c r="F56" s="30">
        <v>0</v>
      </c>
      <c r="G56" s="30">
        <v>0</v>
      </c>
      <c r="H56" s="27">
        <v>3684</v>
      </c>
      <c r="I56" s="25">
        <v>1496</v>
      </c>
      <c r="J56" s="26">
        <v>2188</v>
      </c>
      <c r="K56" s="27">
        <v>2744</v>
      </c>
      <c r="L56" s="25">
        <v>957</v>
      </c>
      <c r="M56" s="26">
        <v>1787</v>
      </c>
      <c r="N56" s="27">
        <v>4346</v>
      </c>
      <c r="O56" s="25">
        <v>1613</v>
      </c>
      <c r="P56" s="26">
        <v>2733</v>
      </c>
      <c r="Q56" s="25">
        <v>1364</v>
      </c>
      <c r="R56" s="25">
        <v>7</v>
      </c>
      <c r="S56" s="25">
        <v>1357</v>
      </c>
    </row>
    <row r="57" spans="1:19" s="6" customFormat="1" ht="1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spans="1:19" s="17" customFormat="1" ht="15" customHeight="1" x14ac:dyDescent="0.25">
      <c r="A58" s="49">
        <v>2018</v>
      </c>
      <c r="B58" s="44" t="s">
        <v>0</v>
      </c>
      <c r="C58" s="44"/>
      <c r="D58" s="45"/>
      <c r="E58" s="52" t="s">
        <v>3</v>
      </c>
      <c r="F58" s="53"/>
      <c r="G58" s="54"/>
      <c r="H58" s="52" t="s">
        <v>4</v>
      </c>
      <c r="I58" s="53"/>
      <c r="J58" s="54"/>
      <c r="K58" s="52" t="s">
        <v>5</v>
      </c>
      <c r="L58" s="53"/>
      <c r="M58" s="54"/>
      <c r="N58" s="52" t="s">
        <v>6</v>
      </c>
      <c r="O58" s="53"/>
      <c r="P58" s="54"/>
      <c r="Q58" s="1" t="s">
        <v>15</v>
      </c>
      <c r="R58" s="44"/>
      <c r="S58" s="44"/>
    </row>
    <row r="59" spans="1:19" s="18" customFormat="1" ht="15" customHeight="1" x14ac:dyDescent="0.25">
      <c r="A59" s="50"/>
      <c r="B59" s="40" t="s">
        <v>0</v>
      </c>
      <c r="C59" s="40" t="s">
        <v>11</v>
      </c>
      <c r="D59" s="43" t="s">
        <v>12</v>
      </c>
      <c r="E59" s="39" t="s">
        <v>0</v>
      </c>
      <c r="F59" s="40" t="s">
        <v>2</v>
      </c>
      <c r="G59" s="43" t="s">
        <v>1</v>
      </c>
      <c r="H59" s="39" t="s">
        <v>0</v>
      </c>
      <c r="I59" s="40" t="s">
        <v>2</v>
      </c>
      <c r="J59" s="43" t="s">
        <v>1</v>
      </c>
      <c r="K59" s="39" t="s">
        <v>0</v>
      </c>
      <c r="L59" s="40" t="s">
        <v>2</v>
      </c>
      <c r="M59" s="43" t="s">
        <v>1</v>
      </c>
      <c r="N59" s="39" t="s">
        <v>0</v>
      </c>
      <c r="O59" s="40" t="s">
        <v>2</v>
      </c>
      <c r="P59" s="43" t="s">
        <v>1</v>
      </c>
      <c r="Q59" s="40" t="s">
        <v>0</v>
      </c>
      <c r="R59" s="40" t="s">
        <v>2</v>
      </c>
      <c r="S59" s="40" t="s">
        <v>1</v>
      </c>
    </row>
    <row r="60" spans="1:19" s="3" customFormat="1" ht="15" customHeight="1" x14ac:dyDescent="0.3">
      <c r="A60" s="15" t="s">
        <v>0</v>
      </c>
      <c r="B60" s="19">
        <v>125196</v>
      </c>
      <c r="C60" s="19">
        <v>49505</v>
      </c>
      <c r="D60" s="20">
        <v>75691</v>
      </c>
      <c r="E60" s="21">
        <v>10465</v>
      </c>
      <c r="F60" s="19">
        <v>4151</v>
      </c>
      <c r="G60" s="20">
        <v>6314</v>
      </c>
      <c r="H60" s="21">
        <v>28037</v>
      </c>
      <c r="I60" s="19">
        <v>11399</v>
      </c>
      <c r="J60" s="20">
        <v>16638</v>
      </c>
      <c r="K60" s="21">
        <v>25198</v>
      </c>
      <c r="L60" s="19">
        <v>10626</v>
      </c>
      <c r="M60" s="20">
        <v>14572</v>
      </c>
      <c r="N60" s="21">
        <v>43728</v>
      </c>
      <c r="O60" s="19">
        <v>21312</v>
      </c>
      <c r="P60" s="20">
        <v>22416</v>
      </c>
      <c r="Q60" s="19">
        <v>17768</v>
      </c>
      <c r="R60" s="19">
        <v>2017</v>
      </c>
      <c r="S60" s="19">
        <v>15751</v>
      </c>
    </row>
    <row r="61" spans="1:19" s="5" customFormat="1" ht="15" customHeight="1" x14ac:dyDescent="0.3">
      <c r="A61" s="12" t="s">
        <v>7</v>
      </c>
      <c r="B61" s="22">
        <v>10465</v>
      </c>
      <c r="C61" s="22">
        <v>4151</v>
      </c>
      <c r="D61" s="23">
        <v>6314</v>
      </c>
      <c r="E61" s="24">
        <v>10465</v>
      </c>
      <c r="F61" s="22">
        <v>4151</v>
      </c>
      <c r="G61" s="23">
        <v>6314</v>
      </c>
      <c r="H61" s="30">
        <v>0</v>
      </c>
      <c r="I61" s="30">
        <v>0</v>
      </c>
      <c r="J61" s="30">
        <v>0</v>
      </c>
      <c r="K61" s="35">
        <v>0</v>
      </c>
      <c r="L61" s="30">
        <v>0</v>
      </c>
      <c r="M61" s="30">
        <v>0</v>
      </c>
      <c r="N61" s="35">
        <v>0</v>
      </c>
      <c r="O61" s="30">
        <v>0</v>
      </c>
      <c r="P61" s="30">
        <v>0</v>
      </c>
      <c r="Q61" s="35">
        <v>0</v>
      </c>
      <c r="R61" s="30">
        <v>0</v>
      </c>
      <c r="S61" s="30">
        <v>0</v>
      </c>
    </row>
    <row r="62" spans="1:19" ht="15" customHeight="1" x14ac:dyDescent="0.3">
      <c r="A62" s="12" t="s">
        <v>8</v>
      </c>
      <c r="B62" s="22">
        <v>27544</v>
      </c>
      <c r="C62" s="22">
        <v>9921</v>
      </c>
      <c r="D62" s="23">
        <v>17623</v>
      </c>
      <c r="E62" s="30">
        <v>0</v>
      </c>
      <c r="F62" s="30">
        <v>0</v>
      </c>
      <c r="G62" s="30">
        <v>0</v>
      </c>
      <c r="H62" s="24">
        <v>6948</v>
      </c>
      <c r="I62" s="22">
        <v>2818</v>
      </c>
      <c r="J62" s="23">
        <v>4130</v>
      </c>
      <c r="K62" s="24">
        <v>5179</v>
      </c>
      <c r="L62" s="22">
        <v>1936</v>
      </c>
      <c r="M62" s="23">
        <v>3243</v>
      </c>
      <c r="N62" s="24">
        <v>8388</v>
      </c>
      <c r="O62" s="22">
        <v>3234</v>
      </c>
      <c r="P62" s="23">
        <v>5154</v>
      </c>
      <c r="Q62" s="22">
        <v>7029</v>
      </c>
      <c r="R62" s="22">
        <v>1933</v>
      </c>
      <c r="S62" s="22">
        <v>5096</v>
      </c>
    </row>
    <row r="63" spans="1:19" s="5" customFormat="1" ht="15" customHeight="1" x14ac:dyDescent="0.3">
      <c r="A63" s="12" t="s">
        <v>9</v>
      </c>
      <c r="B63" s="22">
        <v>74583</v>
      </c>
      <c r="C63" s="22">
        <v>31198</v>
      </c>
      <c r="D63" s="23">
        <v>43385</v>
      </c>
      <c r="E63" s="30">
        <v>0</v>
      </c>
      <c r="F63" s="30">
        <v>0</v>
      </c>
      <c r="G63" s="30">
        <v>0</v>
      </c>
      <c r="H63" s="24">
        <v>17292</v>
      </c>
      <c r="I63" s="22">
        <v>7048</v>
      </c>
      <c r="J63" s="23">
        <v>10244</v>
      </c>
      <c r="K63" s="24">
        <v>17113</v>
      </c>
      <c r="L63" s="22">
        <v>7689</v>
      </c>
      <c r="M63" s="23">
        <v>9424</v>
      </c>
      <c r="N63" s="24">
        <v>30858</v>
      </c>
      <c r="O63" s="22">
        <v>16386</v>
      </c>
      <c r="P63" s="23">
        <v>14472</v>
      </c>
      <c r="Q63" s="22">
        <v>9320</v>
      </c>
      <c r="R63" s="22">
        <v>75</v>
      </c>
      <c r="S63" s="22">
        <v>9245</v>
      </c>
    </row>
    <row r="64" spans="1:19" ht="15" customHeight="1" x14ac:dyDescent="0.3">
      <c r="A64" s="13" t="s">
        <v>10</v>
      </c>
      <c r="B64" s="25">
        <v>12604</v>
      </c>
      <c r="C64" s="25">
        <v>4235</v>
      </c>
      <c r="D64" s="26">
        <v>8369</v>
      </c>
      <c r="E64" s="31">
        <v>0</v>
      </c>
      <c r="F64" s="32">
        <v>0</v>
      </c>
      <c r="G64" s="33">
        <v>0</v>
      </c>
      <c r="H64" s="27">
        <v>3797</v>
      </c>
      <c r="I64" s="25">
        <v>1533</v>
      </c>
      <c r="J64" s="26">
        <v>2264</v>
      </c>
      <c r="K64" s="27">
        <v>2906</v>
      </c>
      <c r="L64" s="25">
        <v>1001</v>
      </c>
      <c r="M64" s="26">
        <v>1905</v>
      </c>
      <c r="N64" s="27">
        <v>4482</v>
      </c>
      <c r="O64" s="25">
        <v>1692</v>
      </c>
      <c r="P64" s="26">
        <v>2790</v>
      </c>
      <c r="Q64" s="25">
        <v>1419</v>
      </c>
      <c r="R64" s="25">
        <v>9</v>
      </c>
      <c r="S64" s="25">
        <v>1410</v>
      </c>
    </row>
    <row r="65" spans="1:19" ht="15" customHeight="1" x14ac:dyDescent="0.3">
      <c r="A65" s="7"/>
      <c r="B65" s="9"/>
      <c r="C65" s="9"/>
      <c r="D65" s="9"/>
      <c r="E65" s="9"/>
      <c r="F65" s="9"/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s="17" customFormat="1" ht="15" customHeight="1" x14ac:dyDescent="0.25">
      <c r="A66" s="49">
        <v>2017</v>
      </c>
      <c r="B66" s="44" t="s">
        <v>0</v>
      </c>
      <c r="C66" s="44"/>
      <c r="D66" s="45"/>
      <c r="E66" s="52" t="s">
        <v>3</v>
      </c>
      <c r="F66" s="53"/>
      <c r="G66" s="54"/>
      <c r="H66" s="52" t="s">
        <v>4</v>
      </c>
      <c r="I66" s="53"/>
      <c r="J66" s="54"/>
      <c r="K66" s="52" t="s">
        <v>5</v>
      </c>
      <c r="L66" s="53"/>
      <c r="M66" s="54"/>
      <c r="N66" s="52" t="s">
        <v>6</v>
      </c>
      <c r="O66" s="53"/>
      <c r="P66" s="54"/>
      <c r="Q66" s="1" t="s">
        <v>15</v>
      </c>
      <c r="R66" s="44"/>
      <c r="S66" s="44"/>
    </row>
    <row r="67" spans="1:19" s="18" customFormat="1" ht="15" customHeight="1" x14ac:dyDescent="0.25">
      <c r="A67" s="50"/>
      <c r="B67" s="40" t="s">
        <v>0</v>
      </c>
      <c r="C67" s="40" t="s">
        <v>11</v>
      </c>
      <c r="D67" s="43" t="s">
        <v>12</v>
      </c>
      <c r="E67" s="39" t="s">
        <v>0</v>
      </c>
      <c r="F67" s="40" t="s">
        <v>2</v>
      </c>
      <c r="G67" s="43" t="s">
        <v>1</v>
      </c>
      <c r="H67" s="39" t="s">
        <v>0</v>
      </c>
      <c r="I67" s="40" t="s">
        <v>2</v>
      </c>
      <c r="J67" s="43" t="s">
        <v>1</v>
      </c>
      <c r="K67" s="39" t="s">
        <v>0</v>
      </c>
      <c r="L67" s="40" t="s">
        <v>2</v>
      </c>
      <c r="M67" s="43" t="s">
        <v>1</v>
      </c>
      <c r="N67" s="39" t="s">
        <v>0</v>
      </c>
      <c r="O67" s="40" t="s">
        <v>2</v>
      </c>
      <c r="P67" s="43" t="s">
        <v>1</v>
      </c>
      <c r="Q67" s="40" t="s">
        <v>0</v>
      </c>
      <c r="R67" s="40" t="s">
        <v>2</v>
      </c>
      <c r="S67" s="40" t="s">
        <v>1</v>
      </c>
    </row>
    <row r="68" spans="1:19" s="3" customFormat="1" ht="15" customHeight="1" x14ac:dyDescent="0.3">
      <c r="A68" s="14" t="s">
        <v>0</v>
      </c>
      <c r="B68" s="19">
        <v>125064</v>
      </c>
      <c r="C68" s="19">
        <v>49727</v>
      </c>
      <c r="D68" s="20">
        <v>75337</v>
      </c>
      <c r="E68" s="21">
        <v>10075</v>
      </c>
      <c r="F68" s="19">
        <v>4009</v>
      </c>
      <c r="G68" s="20">
        <v>6066</v>
      </c>
      <c r="H68" s="21">
        <v>28473</v>
      </c>
      <c r="I68" s="19">
        <v>11471</v>
      </c>
      <c r="J68" s="20">
        <v>17002</v>
      </c>
      <c r="K68" s="21">
        <v>25508</v>
      </c>
      <c r="L68" s="19">
        <v>10824</v>
      </c>
      <c r="M68" s="20">
        <v>14684</v>
      </c>
      <c r="N68" s="21">
        <v>44285</v>
      </c>
      <c r="O68" s="19">
        <v>21689</v>
      </c>
      <c r="P68" s="20">
        <v>22596</v>
      </c>
      <c r="Q68" s="19">
        <v>16723</v>
      </c>
      <c r="R68" s="19">
        <v>1734</v>
      </c>
      <c r="S68" s="19">
        <v>14989</v>
      </c>
    </row>
    <row r="69" spans="1:19" s="5" customFormat="1" ht="15" customHeight="1" x14ac:dyDescent="0.3">
      <c r="A69" s="12" t="s">
        <v>7</v>
      </c>
      <c r="B69" s="22">
        <v>10075</v>
      </c>
      <c r="C69" s="22">
        <v>4009</v>
      </c>
      <c r="D69" s="23">
        <v>6066</v>
      </c>
      <c r="E69" s="24">
        <v>10075</v>
      </c>
      <c r="F69" s="22">
        <v>4009</v>
      </c>
      <c r="G69" s="23">
        <v>6066</v>
      </c>
      <c r="H69" s="30">
        <v>0</v>
      </c>
      <c r="I69" s="30">
        <v>0</v>
      </c>
      <c r="J69" s="30">
        <v>0</v>
      </c>
      <c r="K69" s="35">
        <v>0</v>
      </c>
      <c r="L69" s="30">
        <v>0</v>
      </c>
      <c r="M69" s="30">
        <v>0</v>
      </c>
      <c r="N69" s="35">
        <v>0</v>
      </c>
      <c r="O69" s="30">
        <v>0</v>
      </c>
      <c r="P69" s="30">
        <v>0</v>
      </c>
      <c r="Q69" s="35">
        <v>0</v>
      </c>
      <c r="R69" s="30">
        <v>0</v>
      </c>
      <c r="S69" s="30">
        <v>0</v>
      </c>
    </row>
    <row r="70" spans="1:19" ht="15" customHeight="1" x14ac:dyDescent="0.3">
      <c r="A70" s="12" t="s">
        <v>8</v>
      </c>
      <c r="B70" s="22">
        <v>26654</v>
      </c>
      <c r="C70" s="22">
        <v>9579</v>
      </c>
      <c r="D70" s="23">
        <v>17075</v>
      </c>
      <c r="E70" s="30">
        <v>0</v>
      </c>
      <c r="F70" s="30">
        <v>0</v>
      </c>
      <c r="G70" s="30">
        <v>0</v>
      </c>
      <c r="H70" s="24">
        <v>6933</v>
      </c>
      <c r="I70" s="22">
        <v>2795</v>
      </c>
      <c r="J70" s="23">
        <v>4138</v>
      </c>
      <c r="K70" s="24">
        <v>5115</v>
      </c>
      <c r="L70" s="22">
        <v>1880</v>
      </c>
      <c r="M70" s="23">
        <v>3235</v>
      </c>
      <c r="N70" s="24">
        <v>8328</v>
      </c>
      <c r="O70" s="22">
        <v>3259</v>
      </c>
      <c r="P70" s="23">
        <v>5069</v>
      </c>
      <c r="Q70" s="22">
        <v>6278</v>
      </c>
      <c r="R70" s="22">
        <v>1645</v>
      </c>
      <c r="S70" s="22">
        <v>4633</v>
      </c>
    </row>
    <row r="71" spans="1:19" s="5" customFormat="1" ht="15" customHeight="1" x14ac:dyDescent="0.3">
      <c r="A71" s="12" t="s">
        <v>9</v>
      </c>
      <c r="B71" s="22">
        <v>75275</v>
      </c>
      <c r="C71" s="22">
        <v>31743</v>
      </c>
      <c r="D71" s="23">
        <v>43532</v>
      </c>
      <c r="E71" s="30">
        <v>0</v>
      </c>
      <c r="F71" s="30">
        <v>0</v>
      </c>
      <c r="G71" s="30">
        <v>0</v>
      </c>
      <c r="H71" s="24">
        <v>17618</v>
      </c>
      <c r="I71" s="22">
        <v>7097</v>
      </c>
      <c r="J71" s="23">
        <v>10521</v>
      </c>
      <c r="K71" s="24">
        <v>17329</v>
      </c>
      <c r="L71" s="22">
        <v>7898</v>
      </c>
      <c r="M71" s="23">
        <v>9431</v>
      </c>
      <c r="N71" s="24">
        <v>31265</v>
      </c>
      <c r="O71" s="22">
        <v>16668</v>
      </c>
      <c r="P71" s="23">
        <v>14597</v>
      </c>
      <c r="Q71" s="22">
        <v>9063</v>
      </c>
      <c r="R71" s="22">
        <v>80</v>
      </c>
      <c r="S71" s="22">
        <v>8983</v>
      </c>
    </row>
    <row r="72" spans="1:19" ht="15" customHeight="1" x14ac:dyDescent="0.3">
      <c r="A72" s="13" t="s">
        <v>10</v>
      </c>
      <c r="B72" s="25">
        <v>13060</v>
      </c>
      <c r="C72" s="25">
        <v>4396</v>
      </c>
      <c r="D72" s="26">
        <v>8664</v>
      </c>
      <c r="E72" s="30">
        <v>0</v>
      </c>
      <c r="F72" s="30">
        <v>0</v>
      </c>
      <c r="G72" s="30">
        <v>0</v>
      </c>
      <c r="H72" s="27">
        <v>3922</v>
      </c>
      <c r="I72" s="25">
        <v>1579</v>
      </c>
      <c r="J72" s="26">
        <v>2343</v>
      </c>
      <c r="K72" s="27">
        <v>3064</v>
      </c>
      <c r="L72" s="25">
        <v>1046</v>
      </c>
      <c r="M72" s="26">
        <v>2018</v>
      </c>
      <c r="N72" s="27">
        <v>4692</v>
      </c>
      <c r="O72" s="25">
        <v>1762</v>
      </c>
      <c r="P72" s="26">
        <v>2930</v>
      </c>
      <c r="Q72" s="25">
        <v>1382</v>
      </c>
      <c r="R72" s="25">
        <v>9</v>
      </c>
      <c r="S72" s="25">
        <v>1373</v>
      </c>
    </row>
    <row r="73" spans="1:19" s="16" customFormat="1" ht="12.75" x14ac:dyDescent="0.25">
      <c r="A73" s="51" t="s">
        <v>13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</row>
  </sheetData>
  <mergeCells count="65">
    <mergeCell ref="H10:J10"/>
    <mergeCell ref="K10:M10"/>
    <mergeCell ref="N10:P10"/>
    <mergeCell ref="N26:P26"/>
    <mergeCell ref="Q26:S26"/>
    <mergeCell ref="A1:S1"/>
    <mergeCell ref="A26:A27"/>
    <mergeCell ref="B26:D26"/>
    <mergeCell ref="E26:G26"/>
    <mergeCell ref="A18:A19"/>
    <mergeCell ref="B18:D18"/>
    <mergeCell ref="E18:G18"/>
    <mergeCell ref="H18:J18"/>
    <mergeCell ref="K18:M18"/>
    <mergeCell ref="N18:P18"/>
    <mergeCell ref="Q18:S18"/>
    <mergeCell ref="A10:A11"/>
    <mergeCell ref="Q10:S10"/>
    <mergeCell ref="B10:D10"/>
    <mergeCell ref="E10:G10"/>
    <mergeCell ref="A2:A3"/>
    <mergeCell ref="K34:M34"/>
    <mergeCell ref="B42:D42"/>
    <mergeCell ref="E50:G50"/>
    <mergeCell ref="E42:G42"/>
    <mergeCell ref="H26:J26"/>
    <mergeCell ref="K26:M26"/>
    <mergeCell ref="A58:A59"/>
    <mergeCell ref="N50:P50"/>
    <mergeCell ref="Q50:S50"/>
    <mergeCell ref="E34:G34"/>
    <mergeCell ref="H34:J34"/>
    <mergeCell ref="B34:D34"/>
    <mergeCell ref="N34:P34"/>
    <mergeCell ref="Q34:S34"/>
    <mergeCell ref="K42:M42"/>
    <mergeCell ref="N42:P42"/>
    <mergeCell ref="H58:J58"/>
    <mergeCell ref="Q42:S42"/>
    <mergeCell ref="H50:J50"/>
    <mergeCell ref="H42:J42"/>
    <mergeCell ref="B50:D50"/>
    <mergeCell ref="K50:M50"/>
    <mergeCell ref="A66:A67"/>
    <mergeCell ref="A73:S73"/>
    <mergeCell ref="A34:A35"/>
    <mergeCell ref="A42:A43"/>
    <mergeCell ref="A50:A51"/>
    <mergeCell ref="B66:D66"/>
    <mergeCell ref="K66:M66"/>
    <mergeCell ref="N66:P66"/>
    <mergeCell ref="Q66:S66"/>
    <mergeCell ref="B58:D58"/>
    <mergeCell ref="K58:M58"/>
    <mergeCell ref="N58:P58"/>
    <mergeCell ref="Q58:S58"/>
    <mergeCell ref="E66:G66"/>
    <mergeCell ref="H66:J66"/>
    <mergeCell ref="E58:G58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2011-11-14T12:28:14Z</dcterms:created>
  <dcterms:modified xsi:type="dcterms:W3CDTF">2026-03-06T11:33:26Z</dcterms:modified>
</cp:coreProperties>
</file>